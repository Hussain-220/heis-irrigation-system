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2120" windowHeight="91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27" i="1"/>
  <c r="K28"/>
  <c r="G8" l="1"/>
  <c r="G9"/>
  <c r="G10"/>
  <c r="G11"/>
  <c r="G12"/>
  <c r="G13"/>
  <c r="G15"/>
  <c r="G16"/>
  <c r="G17"/>
  <c r="G6"/>
  <c r="G19"/>
  <c r="G18" l="1"/>
  <c r="G20" l="1"/>
  <c r="G21" s="1"/>
  <c r="G23" s="1"/>
  <c r="G24" s="1"/>
</calcChain>
</file>

<file path=xl/sharedStrings.xml><?xml version="1.0" encoding="utf-8"?>
<sst xmlns="http://schemas.openxmlformats.org/spreadsheetml/2006/main" count="49" uniqueCount="39">
  <si>
    <t>ITEM DESCRIPTION</t>
  </si>
  <si>
    <t>SPECS</t>
  </si>
  <si>
    <t>UNIT</t>
  </si>
  <si>
    <t>UNIT PRICE</t>
  </si>
  <si>
    <t>QUANTITY</t>
  </si>
  <si>
    <t>TOTAL AMOUNT</t>
  </si>
  <si>
    <t>PVC Pipe (ROBIN)</t>
  </si>
  <si>
    <t>4” (6 Bars)</t>
  </si>
  <si>
    <t>m</t>
  </si>
  <si>
    <t>3” (12 Bars)</t>
  </si>
  <si>
    <t>Gate Valve (Anwar Metal)</t>
  </si>
  <si>
    <t>3”</t>
  </si>
  <si>
    <t>Nos.</t>
  </si>
  <si>
    <t xml:space="preserve">GI Pipe </t>
  </si>
  <si>
    <t>3” (6m Length)</t>
  </si>
  <si>
    <t>PVC TEE (Atlas/Maat)</t>
  </si>
  <si>
    <t>4” X 3”</t>
  </si>
  <si>
    <t>4”</t>
  </si>
  <si>
    <t>PVC ELBOW (Atlas/Maat)</t>
  </si>
  <si>
    <t>PVC Ball Valve (Atlas/Maat)</t>
  </si>
  <si>
    <t>Lum Sum</t>
  </si>
  <si>
    <t>-----</t>
  </si>
  <si>
    <t>Transportation charges</t>
  </si>
  <si>
    <t>PVC Solution (OSKAR)</t>
  </si>
  <si>
    <t>1Kg</t>
  </si>
  <si>
    <t>Total Project Cost</t>
  </si>
  <si>
    <t>PER ACRE COST</t>
  </si>
  <si>
    <t>HEAD UNIT</t>
  </si>
  <si>
    <t>PIPE NETWORK</t>
  </si>
  <si>
    <t>RAIN GUN SYSTEM</t>
  </si>
  <si>
    <t>TOTAL MATERIAL COST</t>
  </si>
  <si>
    <t>DISCOUNT GIVEN</t>
  </si>
  <si>
    <t>NET PROJECT COST</t>
  </si>
  <si>
    <t xml:space="preserve">   MULTI TRADES INTERNATIONAL</t>
  </si>
  <si>
    <t>Services charges (8%)</t>
  </si>
  <si>
    <t>PVC Reducer Bush (Atlas/Maat)</t>
  </si>
  <si>
    <t>Motor</t>
  </si>
  <si>
    <t>24hp with frame &amp; Electric pannel</t>
  </si>
  <si>
    <t>BOQ FOR IJAZ RIZVI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</si>
</sst>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Arial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3" fillId="0" borderId="2" xfId="1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1" fontId="2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30"/>
  <sheetViews>
    <sheetView tabSelected="1" zoomScale="80" zoomScaleNormal="80" workbookViewId="0">
      <selection activeCell="G24" sqref="G24"/>
    </sheetView>
  </sheetViews>
  <sheetFormatPr defaultRowHeight="12.75"/>
  <cols>
    <col min="1" max="1" width="6.140625" customWidth="1"/>
    <col min="2" max="2" width="26" customWidth="1"/>
    <col min="3" max="3" width="14.5703125" customWidth="1"/>
    <col min="4" max="4" width="6.5703125" customWidth="1"/>
    <col min="5" max="5" width="14.42578125" customWidth="1"/>
    <col min="6" max="6" width="11.7109375" customWidth="1"/>
    <col min="7" max="7" width="10.7109375" customWidth="1"/>
  </cols>
  <sheetData>
    <row r="1" spans="2:7" ht="13.5" thickBot="1"/>
    <row r="2" spans="2:7" ht="15" customHeight="1">
      <c r="B2" s="25" t="s">
        <v>38</v>
      </c>
      <c r="C2" s="26"/>
      <c r="D2" s="26"/>
      <c r="E2" s="26"/>
      <c r="F2" s="26"/>
      <c r="G2" s="27"/>
    </row>
    <row r="3" spans="2:7" ht="21" customHeight="1" thickBot="1">
      <c r="B3" s="28" t="s">
        <v>33</v>
      </c>
      <c r="C3" s="29"/>
      <c r="D3" s="29"/>
      <c r="E3" s="29"/>
      <c r="F3" s="29"/>
      <c r="G3" s="30"/>
    </row>
    <row r="4" spans="2:7" ht="26.25" thickBot="1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 ht="13.5" thickBot="1">
      <c r="B5" s="6" t="s">
        <v>27</v>
      </c>
      <c r="C5" s="7"/>
      <c r="D5" s="7"/>
      <c r="E5" s="7"/>
      <c r="F5" s="7"/>
      <c r="G5" s="8"/>
    </row>
    <row r="6" spans="2:7" ht="26.25" customHeight="1" thickBot="1">
      <c r="B6" s="11" t="s">
        <v>36</v>
      </c>
      <c r="C6" s="12" t="s">
        <v>37</v>
      </c>
      <c r="D6" s="12" t="s">
        <v>12</v>
      </c>
      <c r="E6" s="12">
        <v>97000</v>
      </c>
      <c r="F6" s="12">
        <v>1</v>
      </c>
      <c r="G6" s="13">
        <f>E6*F6</f>
        <v>97000</v>
      </c>
    </row>
    <row r="7" spans="2:7" ht="18" customHeight="1" thickBot="1">
      <c r="B7" s="6" t="s">
        <v>28</v>
      </c>
      <c r="C7" s="9"/>
      <c r="D7" s="9"/>
      <c r="E7" s="9"/>
      <c r="F7" s="9"/>
      <c r="G7" s="10"/>
    </row>
    <row r="8" spans="2:7" ht="18" customHeight="1">
      <c r="B8" s="11" t="s">
        <v>6</v>
      </c>
      <c r="C8" s="12" t="s">
        <v>7</v>
      </c>
      <c r="D8" s="12" t="s">
        <v>8</v>
      </c>
      <c r="E8" s="12">
        <v>300</v>
      </c>
      <c r="F8" s="12">
        <v>1040</v>
      </c>
      <c r="G8" s="13">
        <f t="shared" ref="G8:G13" si="0">E8*F8</f>
        <v>312000</v>
      </c>
    </row>
    <row r="9" spans="2:7" ht="18" customHeight="1">
      <c r="B9" s="14" t="s">
        <v>15</v>
      </c>
      <c r="C9" s="15" t="s">
        <v>17</v>
      </c>
      <c r="D9" s="15" t="s">
        <v>12</v>
      </c>
      <c r="E9" s="15">
        <v>580</v>
      </c>
      <c r="F9" s="15">
        <v>21</v>
      </c>
      <c r="G9" s="16">
        <f t="shared" si="0"/>
        <v>12180</v>
      </c>
    </row>
    <row r="10" spans="2:7" ht="18" customHeight="1">
      <c r="B10" s="14" t="s">
        <v>18</v>
      </c>
      <c r="C10" s="15" t="s">
        <v>17</v>
      </c>
      <c r="D10" s="15" t="s">
        <v>12</v>
      </c>
      <c r="E10" s="15">
        <v>550</v>
      </c>
      <c r="F10" s="15">
        <v>11</v>
      </c>
      <c r="G10" s="16">
        <f t="shared" si="0"/>
        <v>6050</v>
      </c>
    </row>
    <row r="11" spans="2:7" ht="18" customHeight="1">
      <c r="B11" s="14" t="s">
        <v>35</v>
      </c>
      <c r="C11" s="15" t="s">
        <v>16</v>
      </c>
      <c r="D11" s="15" t="s">
        <v>12</v>
      </c>
      <c r="E11" s="15">
        <v>200</v>
      </c>
      <c r="F11" s="15">
        <v>20</v>
      </c>
      <c r="G11" s="16">
        <f t="shared" si="0"/>
        <v>4000</v>
      </c>
    </row>
    <row r="12" spans="2:7" ht="18" customHeight="1">
      <c r="B12" s="14" t="s">
        <v>19</v>
      </c>
      <c r="C12" s="15" t="s">
        <v>17</v>
      </c>
      <c r="D12" s="15" t="s">
        <v>12</v>
      </c>
      <c r="E12" s="15">
        <v>3800</v>
      </c>
      <c r="F12" s="15">
        <v>3</v>
      </c>
      <c r="G12" s="16">
        <f t="shared" si="0"/>
        <v>11400</v>
      </c>
    </row>
    <row r="13" spans="2:7" ht="18" customHeight="1" thickBot="1">
      <c r="B13" s="17" t="s">
        <v>23</v>
      </c>
      <c r="C13" s="18" t="s">
        <v>24</v>
      </c>
      <c r="D13" s="18"/>
      <c r="E13" s="18">
        <v>600</v>
      </c>
      <c r="F13" s="18">
        <v>8</v>
      </c>
      <c r="G13" s="19">
        <f t="shared" si="0"/>
        <v>4800</v>
      </c>
    </row>
    <row r="14" spans="2:7" ht="18" customHeight="1" thickBot="1">
      <c r="B14" s="6" t="s">
        <v>29</v>
      </c>
      <c r="C14" s="9"/>
      <c r="D14" s="9"/>
      <c r="E14" s="9"/>
      <c r="F14" s="9"/>
      <c r="G14" s="10"/>
    </row>
    <row r="15" spans="2:7" ht="18" customHeight="1">
      <c r="B15" s="14" t="s">
        <v>10</v>
      </c>
      <c r="C15" s="15" t="s">
        <v>11</v>
      </c>
      <c r="D15" s="15" t="s">
        <v>12</v>
      </c>
      <c r="E15" s="15">
        <v>3650</v>
      </c>
      <c r="F15" s="15">
        <v>20</v>
      </c>
      <c r="G15" s="16">
        <f>E15*F15</f>
        <v>73000</v>
      </c>
    </row>
    <row r="16" spans="2:7" ht="18" customHeight="1">
      <c r="B16" s="14" t="s">
        <v>13</v>
      </c>
      <c r="C16" s="15" t="s">
        <v>14</v>
      </c>
      <c r="D16" s="15" t="s">
        <v>12</v>
      </c>
      <c r="E16" s="15">
        <v>3500</v>
      </c>
      <c r="F16" s="15">
        <v>5</v>
      </c>
      <c r="G16" s="16">
        <f>E16*F16</f>
        <v>17500</v>
      </c>
    </row>
    <row r="17" spans="2:11" ht="18" customHeight="1" thickBot="1">
      <c r="B17" s="17" t="s">
        <v>6</v>
      </c>
      <c r="C17" s="21" t="s">
        <v>9</v>
      </c>
      <c r="D17" s="21" t="s">
        <v>8</v>
      </c>
      <c r="E17" s="21">
        <v>280</v>
      </c>
      <c r="F17" s="21">
        <v>17</v>
      </c>
      <c r="G17" s="19">
        <f t="shared" ref="G17:G19" si="1">E17*F17</f>
        <v>4760</v>
      </c>
    </row>
    <row r="18" spans="2:11" ht="18" customHeight="1" thickBot="1">
      <c r="B18" s="20" t="s">
        <v>30</v>
      </c>
      <c r="C18" s="22"/>
      <c r="D18" s="22"/>
      <c r="E18" s="22"/>
      <c r="F18" s="22"/>
      <c r="G18" s="4">
        <f>SUM(G6:G17)</f>
        <v>542690</v>
      </c>
    </row>
    <row r="19" spans="2:11" ht="18" customHeight="1" thickBot="1">
      <c r="B19" s="3" t="s">
        <v>22</v>
      </c>
      <c r="C19" s="4" t="s">
        <v>20</v>
      </c>
      <c r="D19" s="4" t="s">
        <v>21</v>
      </c>
      <c r="E19" s="4">
        <v>0</v>
      </c>
      <c r="F19" s="4">
        <v>0</v>
      </c>
      <c r="G19" s="4">
        <f t="shared" si="1"/>
        <v>0</v>
      </c>
    </row>
    <row r="20" spans="2:11" ht="18" customHeight="1" thickBot="1">
      <c r="B20" s="3" t="s">
        <v>34</v>
      </c>
      <c r="C20" s="4"/>
      <c r="D20" s="4"/>
      <c r="E20" s="4"/>
      <c r="F20" s="4">
        <v>0.08</v>
      </c>
      <c r="G20" s="23">
        <f>F20*G18</f>
        <v>43415.200000000004</v>
      </c>
    </row>
    <row r="21" spans="2:11" ht="18" customHeight="1" thickBot="1">
      <c r="B21" s="1" t="s">
        <v>25</v>
      </c>
      <c r="C21" s="2"/>
      <c r="D21" s="2"/>
      <c r="E21" s="2"/>
      <c r="F21" s="2"/>
      <c r="G21" s="24">
        <f>G20+G19+G18</f>
        <v>586105.19999999995</v>
      </c>
    </row>
    <row r="22" spans="2:11" ht="18" customHeight="1" thickBot="1">
      <c r="B22" s="1" t="s">
        <v>31</v>
      </c>
      <c r="C22" s="2"/>
      <c r="D22" s="2"/>
      <c r="E22" s="2"/>
      <c r="F22" s="2"/>
      <c r="G22" s="2">
        <v>0</v>
      </c>
    </row>
    <row r="23" spans="2:11" ht="18" customHeight="1" thickBot="1">
      <c r="B23" s="1" t="s">
        <v>32</v>
      </c>
      <c r="C23" s="2"/>
      <c r="D23" s="2"/>
      <c r="E23" s="2"/>
      <c r="F23" s="2"/>
      <c r="G23" s="24">
        <f>G21-G22</f>
        <v>586105.19999999995</v>
      </c>
    </row>
    <row r="24" spans="2:11" ht="18" customHeight="1" thickBot="1">
      <c r="B24" s="1" t="s">
        <v>26</v>
      </c>
      <c r="C24" s="2"/>
      <c r="D24" s="2"/>
      <c r="E24" s="2"/>
      <c r="F24" s="2"/>
      <c r="G24" s="5">
        <f>G23/13</f>
        <v>45085.015384615384</v>
      </c>
    </row>
    <row r="25" spans="2:11" ht="18" customHeight="1"/>
    <row r="26" spans="2:11" ht="18" customHeight="1"/>
    <row r="27" spans="2:11" ht="18" customHeight="1">
      <c r="K27">
        <f>414459/8.6</f>
        <v>48192.906976744191</v>
      </c>
    </row>
    <row r="28" spans="2:11" ht="18" customHeight="1">
      <c r="K28" t="b">
        <f>J29=K27</f>
        <v>0</v>
      </c>
    </row>
    <row r="29" spans="2:11" ht="18" customHeight="1"/>
    <row r="30" spans="2:11" ht="18" customHeight="1"/>
  </sheetData>
  <mergeCells count="2">
    <mergeCell ref="B2:G2"/>
    <mergeCell ref="B3:G3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</dc:creator>
  <cp:lastModifiedBy>A</cp:lastModifiedBy>
  <cp:lastPrinted>2010-07-03T06:06:11Z</cp:lastPrinted>
  <dcterms:created xsi:type="dcterms:W3CDTF">2002-07-01T09:14:03Z</dcterms:created>
  <dcterms:modified xsi:type="dcterms:W3CDTF">2010-08-02T11:39:22Z</dcterms:modified>
</cp:coreProperties>
</file>