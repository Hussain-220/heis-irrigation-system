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ikramsaleem/Documents/8th Semester/Hydraulic and Irrigation Engineering /"/>
    </mc:Choice>
  </mc:AlternateContent>
  <xr:revisionPtr revIDLastSave="0" documentId="13_ncr:1_{FC90A1D2-EAB1-AE44-9EA2-F2D6771B4BD5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Tab 2 - Drip Irrig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" l="1"/>
  <c r="B13" i="1"/>
  <c r="B15" i="1" s="1"/>
  <c r="B16" i="1" s="1"/>
  <c r="B25" i="1" s="1"/>
  <c r="B37" i="1"/>
  <c r="B35" i="1"/>
  <c r="B36" i="1" s="1"/>
  <c r="B38" i="1" s="1"/>
  <c r="B46" i="1" s="1"/>
  <c r="B24" i="1"/>
  <c r="B23" i="1"/>
  <c r="B26" i="1" s="1"/>
  <c r="B47" i="1" l="1"/>
  <c r="B27" i="1"/>
  <c r="B48" i="1"/>
</calcChain>
</file>

<file path=xl/sharedStrings.xml><?xml version="1.0" encoding="utf-8"?>
<sst xmlns="http://schemas.openxmlformats.org/spreadsheetml/2006/main" count="37" uniqueCount="37">
  <si>
    <t>Block 1: Agronomic &amp; Water Requirement</t>
  </si>
  <si>
    <t>Total Area (m2)</t>
  </si>
  <si>
    <t>ET0 (mm/day)</t>
  </si>
  <si>
    <t>Kc</t>
  </si>
  <si>
    <t>Kr</t>
  </si>
  <si>
    <t>ECw</t>
  </si>
  <si>
    <t>ECe</t>
  </si>
  <si>
    <t>Efficiency Ea</t>
  </si>
  <si>
    <t>Plant Spacing Sp (m)</t>
  </si>
  <si>
    <t>Row Spacing Sr (m)</t>
  </si>
  <si>
    <t>ETc (mm/day)</t>
  </si>
  <si>
    <t>Gross Req (mm/day)</t>
  </si>
  <si>
    <t>Volume per Plant (L/day)</t>
  </si>
  <si>
    <t>Block 2: System Layout &amp; Timing</t>
  </si>
  <si>
    <t>Emitter Flow (LPH)</t>
  </si>
  <si>
    <t>Emitters per Plant</t>
  </si>
  <si>
    <t>Total Plants</t>
  </si>
  <si>
    <t>Operating Time (hr)</t>
  </si>
  <si>
    <t>Block 3: Micro-Hydraulics</t>
  </si>
  <si>
    <t>Lateral Length (m)</t>
  </si>
  <si>
    <t>Number of Outlets N</t>
  </si>
  <si>
    <t>F Factor</t>
  </si>
  <si>
    <t>Head Loss Hf (m)</t>
  </si>
  <si>
    <t>Block 4: TDH &amp; Pump</t>
  </si>
  <si>
    <t>Emitter Pressure (m)</t>
  </si>
  <si>
    <t>Filter Loss (m)</t>
  </si>
  <si>
    <t>Elevation (m)</t>
  </si>
  <si>
    <t>TDH (m)</t>
  </si>
  <si>
    <t>Leaching Requirement (LR)</t>
  </si>
  <si>
    <t xml:space="preserve">Water applied per hour </t>
  </si>
  <si>
    <t>Inside Diameter (mm)</t>
  </si>
  <si>
    <t>C (Hazen-Williams Coeff)</t>
  </si>
  <si>
    <t>Pump Water Power (HP)</t>
  </si>
  <si>
    <t xml:space="preserve">Total system Flow </t>
  </si>
  <si>
    <t xml:space="preserve">Total Flow </t>
  </si>
  <si>
    <t>Required Motor Power (HP)</t>
  </si>
  <si>
    <t>Lateral Flow Q (LPS)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</si>
</sst>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DFEA44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DFEA44"/>
      <color rgb="FFF9FE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9"/>
  <sheetViews>
    <sheetView tabSelected="1" zoomScale="131" workbookViewId="0">
      <selection activeCell="D22" sqref="D22"/>
    </sheetView>
  </sheetViews>
  <sheetFormatPr baseColWidth="10" defaultColWidth="8.83203125" defaultRowHeight="15" x14ac:dyDescent="0.2"/>
  <cols>
    <col min="1" max="1" width="33.6640625" customWidth="1"/>
    <col min="2" max="2" width="30" customWidth="1"/>
    <col min="3" max="3" width="3" customWidth="1"/>
  </cols>
  <sheetData>
    <row r="1" spans="1:3" x14ac:dyDescent="0.2">
      <c r="A1" s="1" t="s">
        <v>0</v>
      </c>
      <c r="B1" s="1"/>
      <c r="C1" s="1"/>
    </row>
    <row r="2" spans="1:3" x14ac:dyDescent="0.2">
      <c r="C2" s="1"/>
    </row>
    <row r="3" spans="1:3" x14ac:dyDescent="0.2">
      <c r="A3" s="3" t="s">
        <v>1</v>
      </c>
      <c r="B3" s="3">
        <v>40480</v>
      </c>
      <c r="C3" s="1"/>
    </row>
    <row r="4" spans="1:3" x14ac:dyDescent="0.2">
      <c r="A4" s="3" t="s">
        <v>2</v>
      </c>
      <c r="B4" s="3">
        <v>4.8</v>
      </c>
      <c r="C4" s="1"/>
    </row>
    <row r="5" spans="1:3" x14ac:dyDescent="0.2">
      <c r="A5" s="3" t="s">
        <v>3</v>
      </c>
      <c r="B5" s="3">
        <v>0.75</v>
      </c>
      <c r="C5" s="1"/>
    </row>
    <row r="6" spans="1:3" x14ac:dyDescent="0.2">
      <c r="A6" s="3" t="s">
        <v>4</v>
      </c>
      <c r="B6" s="3">
        <v>0.7</v>
      </c>
      <c r="C6" s="1"/>
    </row>
    <row r="7" spans="1:3" x14ac:dyDescent="0.2">
      <c r="A7" s="3" t="s">
        <v>5</v>
      </c>
      <c r="B7" s="3">
        <v>3.2</v>
      </c>
      <c r="C7" s="1"/>
    </row>
    <row r="8" spans="1:3" x14ac:dyDescent="0.2">
      <c r="A8" s="3" t="s">
        <v>6</v>
      </c>
      <c r="B8" s="3">
        <v>3.8</v>
      </c>
      <c r="C8" s="1"/>
    </row>
    <row r="9" spans="1:3" x14ac:dyDescent="0.2">
      <c r="A9" s="3" t="s">
        <v>7</v>
      </c>
      <c r="B9" s="3">
        <v>0.9</v>
      </c>
      <c r="C9" s="1"/>
    </row>
    <row r="10" spans="1:3" x14ac:dyDescent="0.2">
      <c r="A10" s="3" t="s">
        <v>8</v>
      </c>
      <c r="B10" s="3">
        <v>4</v>
      </c>
      <c r="C10" s="1"/>
    </row>
    <row r="11" spans="1:3" x14ac:dyDescent="0.2">
      <c r="A11" s="3" t="s">
        <v>9</v>
      </c>
      <c r="B11" s="3">
        <v>4</v>
      </c>
      <c r="C11" s="1"/>
    </row>
    <row r="12" spans="1:3" x14ac:dyDescent="0.2">
      <c r="C12" s="1"/>
    </row>
    <row r="13" spans="1:3" x14ac:dyDescent="0.2">
      <c r="A13" s="2" t="s">
        <v>10</v>
      </c>
      <c r="B13" s="2">
        <f>B4*B5*B6</f>
        <v>2.5199999999999996</v>
      </c>
      <c r="C13" s="1"/>
    </row>
    <row r="14" spans="1:3" x14ac:dyDescent="0.2">
      <c r="A14" s="2" t="s">
        <v>28</v>
      </c>
      <c r="B14" s="2">
        <f>B7/(2*B8)</f>
        <v>0.4210526315789474</v>
      </c>
      <c r="C14" s="1"/>
    </row>
    <row r="15" spans="1:3" x14ac:dyDescent="0.2">
      <c r="A15" s="2" t="s">
        <v>11</v>
      </c>
      <c r="B15" s="2">
        <f>(B13/(1-B14))/B9</f>
        <v>4.8363636363636351</v>
      </c>
      <c r="C15" s="1"/>
    </row>
    <row r="16" spans="1:3" x14ac:dyDescent="0.2">
      <c r="A16" s="2" t="s">
        <v>12</v>
      </c>
      <c r="B16" s="2">
        <f>B15*B10*B11</f>
        <v>77.381818181818161</v>
      </c>
      <c r="C16" s="1"/>
    </row>
    <row r="17" spans="1:3" x14ac:dyDescent="0.2">
      <c r="C17" s="1"/>
    </row>
    <row r="18" spans="1:3" x14ac:dyDescent="0.2">
      <c r="A18" s="1" t="s">
        <v>13</v>
      </c>
      <c r="B18" s="1"/>
      <c r="C18" s="1"/>
    </row>
    <row r="19" spans="1:3" x14ac:dyDescent="0.2">
      <c r="C19" s="1"/>
    </row>
    <row r="20" spans="1:3" x14ac:dyDescent="0.2">
      <c r="A20" s="3" t="s">
        <v>14</v>
      </c>
      <c r="B20" s="3">
        <v>4</v>
      </c>
      <c r="C20" s="1"/>
    </row>
    <row r="21" spans="1:3" x14ac:dyDescent="0.2">
      <c r="A21" s="3" t="s">
        <v>15</v>
      </c>
      <c r="B21" s="3">
        <v>4</v>
      </c>
      <c r="C21" s="1"/>
    </row>
    <row r="22" spans="1:3" x14ac:dyDescent="0.2">
      <c r="C22" s="1"/>
    </row>
    <row r="23" spans="1:3" x14ac:dyDescent="0.2">
      <c r="A23" s="2" t="s">
        <v>16</v>
      </c>
      <c r="B23" s="2">
        <f>B3/(B10*B11)</f>
        <v>2530</v>
      </c>
      <c r="C23" s="1"/>
    </row>
    <row r="24" spans="1:3" x14ac:dyDescent="0.2">
      <c r="A24" s="2" t="s">
        <v>29</v>
      </c>
      <c r="B24" s="2">
        <f>B20*B21</f>
        <v>16</v>
      </c>
      <c r="C24" s="1"/>
    </row>
    <row r="25" spans="1:3" x14ac:dyDescent="0.2">
      <c r="A25" s="2" t="s">
        <v>17</v>
      </c>
      <c r="B25" s="2">
        <f>B16/B24</f>
        <v>4.8363636363636351</v>
      </c>
      <c r="C25" s="1"/>
    </row>
    <row r="26" spans="1:3" x14ac:dyDescent="0.2">
      <c r="A26" s="2" t="s">
        <v>33</v>
      </c>
      <c r="B26" s="2">
        <f>B23*B24</f>
        <v>40480</v>
      </c>
      <c r="C26" s="1"/>
    </row>
    <row r="27" spans="1:3" x14ac:dyDescent="0.2">
      <c r="A27" s="2" t="s">
        <v>34</v>
      </c>
      <c r="B27" s="2">
        <f>B26/3600</f>
        <v>11.244444444444444</v>
      </c>
      <c r="C27" s="1"/>
    </row>
    <row r="28" spans="1:3" x14ac:dyDescent="0.2">
      <c r="C28" s="1"/>
    </row>
    <row r="29" spans="1:3" x14ac:dyDescent="0.2">
      <c r="A29" s="1" t="s">
        <v>18</v>
      </c>
      <c r="B29" s="1"/>
      <c r="C29" s="1"/>
    </row>
    <row r="30" spans="1:3" x14ac:dyDescent="0.2">
      <c r="C30" s="1"/>
    </row>
    <row r="31" spans="1:3" x14ac:dyDescent="0.2">
      <c r="A31" s="3" t="s">
        <v>19</v>
      </c>
      <c r="B31" s="3">
        <v>100</v>
      </c>
      <c r="C31" s="1"/>
    </row>
    <row r="32" spans="1:3" x14ac:dyDescent="0.2">
      <c r="A32" s="3" t="s">
        <v>30</v>
      </c>
      <c r="B32" s="3">
        <v>16</v>
      </c>
      <c r="C32" s="1"/>
    </row>
    <row r="33" spans="1:3" x14ac:dyDescent="0.2">
      <c r="A33" s="3" t="s">
        <v>31</v>
      </c>
      <c r="B33" s="3">
        <v>150</v>
      </c>
      <c r="C33" s="1"/>
    </row>
    <row r="34" spans="1:3" x14ac:dyDescent="0.2">
      <c r="C34" s="1"/>
    </row>
    <row r="35" spans="1:3" x14ac:dyDescent="0.2">
      <c r="A35" s="2" t="s">
        <v>20</v>
      </c>
      <c r="B35" s="2">
        <f>(B31/B10)*B21</f>
        <v>100</v>
      </c>
      <c r="C35" s="1"/>
    </row>
    <row r="36" spans="1:3" x14ac:dyDescent="0.2">
      <c r="A36" s="2" t="s">
        <v>36</v>
      </c>
      <c r="B36" s="2">
        <f>(B35*B20)/3600</f>
        <v>0.1111111111111111</v>
      </c>
      <c r="C36" s="1"/>
    </row>
    <row r="37" spans="1:3" x14ac:dyDescent="0.2">
      <c r="A37" s="2" t="s">
        <v>21</v>
      </c>
      <c r="B37" s="2">
        <f>(1/2.852)+(1/(2*B35))+(0.285/(B35^2))</f>
        <v>0.35565963604488077</v>
      </c>
      <c r="C37" s="1"/>
    </row>
    <row r="38" spans="1:3" x14ac:dyDescent="0.2">
      <c r="A38" s="2" t="s">
        <v>22</v>
      </c>
      <c r="B38" s="2">
        <f>10.67*(((B36/1000)/B33)^1.852)*(B31/((B32/1000)^4.87))*B37</f>
        <v>0.93703657821668307</v>
      </c>
      <c r="C38" s="1"/>
    </row>
    <row r="39" spans="1:3" x14ac:dyDescent="0.2">
      <c r="C39" s="1"/>
    </row>
    <row r="40" spans="1:3" x14ac:dyDescent="0.2">
      <c r="A40" s="1" t="s">
        <v>23</v>
      </c>
      <c r="B40" s="1"/>
      <c r="C40" s="1"/>
    </row>
    <row r="41" spans="1:3" x14ac:dyDescent="0.2">
      <c r="C41" s="1"/>
    </row>
    <row r="42" spans="1:3" x14ac:dyDescent="0.2">
      <c r="A42" s="3" t="s">
        <v>24</v>
      </c>
      <c r="B42" s="3">
        <v>10</v>
      </c>
      <c r="C42" s="1"/>
    </row>
    <row r="43" spans="1:3" x14ac:dyDescent="0.2">
      <c r="A43" s="3" t="s">
        <v>25</v>
      </c>
      <c r="B43" s="3">
        <v>5</v>
      </c>
      <c r="C43" s="1"/>
    </row>
    <row r="44" spans="1:3" x14ac:dyDescent="0.2">
      <c r="A44" s="3" t="s">
        <v>26</v>
      </c>
      <c r="B44" s="3">
        <v>2</v>
      </c>
      <c r="C44" s="1"/>
    </row>
    <row r="45" spans="1:3" x14ac:dyDescent="0.2">
      <c r="C45" s="1"/>
    </row>
    <row r="46" spans="1:3" x14ac:dyDescent="0.2">
      <c r="A46" s="2" t="s">
        <v>27</v>
      </c>
      <c r="B46" s="2">
        <f>B42+B43+B44+B38</f>
        <v>17.937036578216684</v>
      </c>
      <c r="C46" s="1"/>
    </row>
    <row r="47" spans="1:3" x14ac:dyDescent="0.2">
      <c r="A47" s="2" t="s">
        <v>32</v>
      </c>
      <c r="B47" s="2">
        <f>(B26*B46)/75</f>
        <v>9681.2165424828181</v>
      </c>
      <c r="C47" s="1"/>
    </row>
    <row r="48" spans="1:3" x14ac:dyDescent="0.2">
      <c r="A48" s="2" t="s">
        <v>35</v>
      </c>
      <c r="B48" s="2">
        <f>B36/(0.7*0.7)</f>
        <v>0.22675736961451248</v>
      </c>
      <c r="C48" s="1"/>
    </row>
    <row r="49" spans="1:3" x14ac:dyDescent="0.2">
      <c r="A49" s="1"/>
      <c r="B49" s="1"/>
      <c r="C49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 2 - Drip Irrigation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u2022230</cp:lastModifiedBy>
  <dcterms:created xsi:type="dcterms:W3CDTF">2026-04-04T18:01:30Z</dcterms:created>
  <dcterms:modified xsi:type="dcterms:W3CDTF">2026-04-04T19:49:37Z</dcterms:modified>
</cp:coreProperties>
</file>