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2120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6" i="1"/>
  <c r="C18" s="1"/>
  <c r="D105" l="1"/>
  <c r="E105" s="1"/>
  <c r="E78"/>
  <c r="B20"/>
  <c r="D102"/>
  <c r="F98"/>
  <c r="E67"/>
  <c r="F23"/>
  <c r="G23" s="1"/>
  <c r="B71" s="1"/>
  <c r="C14"/>
  <c r="E8"/>
  <c r="E14" s="1"/>
  <c r="B129"/>
  <c r="B117"/>
  <c r="B93"/>
  <c r="B81"/>
  <c r="B23" l="1"/>
  <c r="G19" s="1"/>
  <c r="B26"/>
  <c r="B102"/>
  <c r="C102" s="1"/>
  <c r="E102" s="1"/>
  <c r="B29" l="1"/>
  <c r="C29" s="1"/>
  <c r="B74"/>
  <c r="B78"/>
  <c r="E126"/>
  <c r="E115"/>
  <c r="B120" s="1"/>
  <c r="B123" s="1"/>
  <c r="C105"/>
  <c r="B96" l="1"/>
  <c r="D78"/>
  <c r="B32"/>
  <c r="B36" s="1"/>
  <c r="D36" s="1"/>
  <c r="F36" s="1"/>
  <c r="B132"/>
  <c r="B135" s="1"/>
  <c r="B162" s="1"/>
  <c r="B108"/>
  <c r="B111" s="1"/>
  <c r="B158" s="1"/>
  <c r="E36" l="1"/>
  <c r="B83"/>
  <c r="B86" s="1"/>
  <c r="B89" s="1"/>
  <c r="B145" l="1"/>
  <c r="B155"/>
  <c r="B186" s="1"/>
  <c r="B191" l="1"/>
  <c r="B195" s="1"/>
</calcChain>
</file>

<file path=xl/sharedStrings.xml><?xml version="1.0" encoding="utf-8"?>
<sst xmlns="http://schemas.openxmlformats.org/spreadsheetml/2006/main" count="120" uniqueCount="101">
  <si>
    <t>Kc</t>
  </si>
  <si>
    <t>Canopy Factor</t>
  </si>
  <si>
    <t>Irrigation Efficiency</t>
  </si>
  <si>
    <t>Total Flow of zone lps</t>
  </si>
  <si>
    <t>Total Flow of zone lph</t>
  </si>
  <si>
    <t>Application Rate mm/h</t>
  </si>
  <si>
    <t>Operating Time hrs</t>
  </si>
  <si>
    <t>Total Operating Time hrs</t>
  </si>
  <si>
    <t>Total No. of Zones</t>
  </si>
  <si>
    <t>a</t>
  </si>
  <si>
    <t>b</t>
  </si>
  <si>
    <t>c</t>
  </si>
  <si>
    <t>k</t>
  </si>
  <si>
    <t>d</t>
  </si>
  <si>
    <t>Submain line Length  m</t>
  </si>
  <si>
    <t>Inside Diameter mm</t>
  </si>
  <si>
    <t>Submain Flow lps Centre Connected</t>
  </si>
  <si>
    <t>Submain Flow lps Corner Connected</t>
  </si>
  <si>
    <t>Submain Line Head Loss m/100m</t>
  </si>
  <si>
    <t xml:space="preserve"> Q lps    (Centrally Connected)</t>
  </si>
  <si>
    <t>C</t>
  </si>
  <si>
    <t>Outlet Factor</t>
  </si>
  <si>
    <t>D mm</t>
  </si>
  <si>
    <t>One  sided laterals</t>
  </si>
  <si>
    <t>e</t>
  </si>
  <si>
    <t>Head loss in Submain m</t>
  </si>
  <si>
    <t>Submain Line Head Loss m/100m* outlet Factor m</t>
  </si>
  <si>
    <t>f</t>
  </si>
  <si>
    <t>Submain Velocity  (Flow /Area) m/s</t>
  </si>
  <si>
    <t xml:space="preserve">Main line length m </t>
  </si>
  <si>
    <t xml:space="preserve">Main Line Flow lph </t>
  </si>
  <si>
    <t xml:space="preserve">Main Line Flow lps </t>
  </si>
  <si>
    <t>Main Line Velocity m/s</t>
  </si>
  <si>
    <t>Main Loss Head Loss m/100m</t>
  </si>
  <si>
    <t>Delivery line Length m</t>
  </si>
  <si>
    <t>Delivery Inside Dia   mm</t>
  </si>
  <si>
    <t>Delivery Line Head Loss m/100m</t>
  </si>
  <si>
    <t>Delivery Line Head Loss m</t>
  </si>
  <si>
    <t>Suction Line Length m</t>
  </si>
  <si>
    <t>Suction Inside Dia   mm</t>
  </si>
  <si>
    <t>Suction Line Head Loss m</t>
  </si>
  <si>
    <r>
      <t>(D)</t>
    </r>
    <r>
      <rPr>
        <vertAlign val="superscript"/>
        <sz val="14"/>
        <color theme="1"/>
        <rFont val="Times New Roman"/>
        <family val="1"/>
      </rPr>
      <t>-4.87</t>
    </r>
  </si>
  <si>
    <r>
      <t>Total Area M</t>
    </r>
    <r>
      <rPr>
        <vertAlign val="superscript"/>
        <sz val="14"/>
        <color theme="1"/>
        <rFont val="Times New Roman"/>
        <family val="1"/>
      </rPr>
      <t>2</t>
    </r>
  </si>
  <si>
    <r>
      <t>Area Of 1 Zone M</t>
    </r>
    <r>
      <rPr>
        <vertAlign val="superscript"/>
        <sz val="14"/>
        <color theme="1"/>
        <rFont val="Times New Roman"/>
        <family val="1"/>
      </rPr>
      <t>2</t>
    </r>
  </si>
  <si>
    <r>
      <t>3.14(D)</t>
    </r>
    <r>
      <rPr>
        <vertAlign val="superscript"/>
        <sz val="14"/>
        <color theme="1"/>
        <rFont val="Times New Roman"/>
        <family val="1"/>
      </rPr>
      <t xml:space="preserve">2 </t>
    </r>
    <r>
      <rPr>
        <sz val="14"/>
        <color theme="1"/>
        <rFont val="Times New Roman"/>
        <family val="1"/>
      </rPr>
      <t>/4</t>
    </r>
    <r>
      <rPr>
        <vertAlign val="superscript"/>
        <sz val="14"/>
        <color theme="1"/>
        <rFont val="Times New Roman"/>
        <family val="1"/>
      </rPr>
      <t xml:space="preserve">   </t>
    </r>
    <r>
      <rPr>
        <sz val="14"/>
        <color theme="1"/>
        <rFont val="Times New Roman"/>
        <family val="1"/>
      </rPr>
      <t>m</t>
    </r>
    <r>
      <rPr>
        <vertAlign val="superscript"/>
        <sz val="14"/>
        <color theme="1"/>
        <rFont val="Times New Roman"/>
        <family val="1"/>
      </rPr>
      <t>2</t>
    </r>
  </si>
  <si>
    <t>Elevation Difference m</t>
  </si>
  <si>
    <t>A</t>
  </si>
  <si>
    <t>Main Line Head Loss m</t>
  </si>
  <si>
    <t xml:space="preserve">Fitting Losses </t>
  </si>
  <si>
    <t>Main Line Fitting Losses m</t>
  </si>
  <si>
    <t>Submain Line Fitting losses m</t>
  </si>
  <si>
    <t>Head Unit Fitting losses m  ( S+D )*0.2</t>
  </si>
  <si>
    <t>Head loss in Fertigation m</t>
  </si>
  <si>
    <t>Head Loss in flow Meter m</t>
  </si>
  <si>
    <t>g</t>
  </si>
  <si>
    <t>Field Fitting Losses m</t>
  </si>
  <si>
    <t>h</t>
  </si>
  <si>
    <t>i</t>
  </si>
  <si>
    <t>Miscellanious Head loss m</t>
  </si>
  <si>
    <t>j</t>
  </si>
  <si>
    <t>Pump Lift  m</t>
  </si>
  <si>
    <t>B</t>
  </si>
  <si>
    <t>Total  Fitting Losses  m</t>
  </si>
  <si>
    <t>Total Dynamic Head m</t>
  </si>
  <si>
    <t>Foot  Valve Losses  m</t>
  </si>
  <si>
    <t>Horse power Requirement hP</t>
  </si>
  <si>
    <t>Pump Efficiency  65%</t>
  </si>
  <si>
    <t>Motor Efficiency 70%</t>
  </si>
  <si>
    <t>Depth m</t>
  </si>
  <si>
    <t xml:space="preserve">Length  m </t>
  </si>
  <si>
    <r>
      <t>Area of Reservoir m</t>
    </r>
    <r>
      <rPr>
        <vertAlign val="superscript"/>
        <sz val="14"/>
        <color theme="1"/>
        <rFont val="Times New Roman"/>
        <family val="1"/>
      </rPr>
      <t>2</t>
    </r>
  </si>
  <si>
    <r>
      <t>Storage  Capacity m</t>
    </r>
    <r>
      <rPr>
        <b/>
        <vertAlign val="superscript"/>
        <sz val="14"/>
        <color theme="1"/>
        <rFont val="Times New Roman"/>
        <family val="1"/>
      </rPr>
      <t>3</t>
    </r>
  </si>
  <si>
    <t>Width  m</t>
  </si>
  <si>
    <r>
      <t>(Q/C)</t>
    </r>
    <r>
      <rPr>
        <vertAlign val="superscript"/>
        <sz val="14"/>
        <color theme="1"/>
        <rFont val="Times New Roman"/>
        <family val="1"/>
      </rPr>
      <t>1.85</t>
    </r>
  </si>
  <si>
    <t>Total  Area (Acre)</t>
  </si>
  <si>
    <t>Suction Line Head Loss m/100m</t>
  </si>
  <si>
    <t xml:space="preserve">     Total  Head  Loss in Pipe Network m</t>
  </si>
  <si>
    <r>
      <t>(Q/C)</t>
    </r>
    <r>
      <rPr>
        <vertAlign val="superscript"/>
        <sz val="14"/>
        <color rgb="FFFF0000"/>
        <rFont val="Times New Roman"/>
        <family val="1"/>
      </rPr>
      <t>1.85</t>
    </r>
  </si>
  <si>
    <r>
      <t>(D)</t>
    </r>
    <r>
      <rPr>
        <vertAlign val="superscript"/>
        <sz val="14"/>
        <color rgb="FFFF0000"/>
        <rFont val="Times New Roman"/>
        <family val="1"/>
      </rPr>
      <t>-4.87</t>
    </r>
  </si>
  <si>
    <t>Lr</t>
  </si>
  <si>
    <t>Ece     ds/m</t>
  </si>
  <si>
    <t>Ecw   ds/m</t>
  </si>
  <si>
    <t>sprinkler Flow Rate lph</t>
  </si>
  <si>
    <t>wetted radius  m</t>
  </si>
  <si>
    <t>sprinkler overrlaping along lateral %</t>
  </si>
  <si>
    <t>sprinkler overrlaping between lateral %</t>
  </si>
  <si>
    <t>spacinng along lateral  m</t>
  </si>
  <si>
    <t>spacinng between lateral  m</t>
  </si>
  <si>
    <t>no. of aprinkler in 1 zone</t>
  </si>
  <si>
    <t>total  no.  Of  hydrant</t>
  </si>
  <si>
    <t>irrigation   interval  days</t>
  </si>
  <si>
    <t>warabandi   days</t>
  </si>
  <si>
    <t>D  mm</t>
  </si>
  <si>
    <r>
      <t>Area    3.14(D)</t>
    </r>
    <r>
      <rPr>
        <vertAlign val="superscript"/>
        <sz val="14"/>
        <color theme="1"/>
        <rFont val="Times New Roman"/>
        <family val="1"/>
      </rPr>
      <t xml:space="preserve">2 </t>
    </r>
    <r>
      <rPr>
        <sz val="14"/>
        <color theme="1"/>
        <rFont val="Times New Roman"/>
        <family val="1"/>
      </rPr>
      <t>/4</t>
    </r>
    <r>
      <rPr>
        <vertAlign val="superscript"/>
        <sz val="14"/>
        <color theme="1"/>
        <rFont val="Times New Roman"/>
        <family val="1"/>
      </rPr>
      <t xml:space="preserve">   </t>
    </r>
    <r>
      <rPr>
        <sz val="14"/>
        <color theme="1"/>
        <rFont val="Times New Roman"/>
        <family val="1"/>
      </rPr>
      <t>m</t>
    </r>
    <r>
      <rPr>
        <vertAlign val="superscript"/>
        <sz val="14"/>
        <color theme="1"/>
        <rFont val="Times New Roman"/>
        <family val="1"/>
      </rPr>
      <t>2</t>
    </r>
  </si>
  <si>
    <t xml:space="preserve"> </t>
  </si>
  <si>
    <t>sprinkler Operating Pressure m</t>
  </si>
  <si>
    <t>Sprinkler  Programing</t>
  </si>
  <si>
    <t xml:space="preserve">         ET0 mm/day</t>
  </si>
  <si>
    <t xml:space="preserve">          CWR  mm/day</t>
  </si>
  <si>
    <t>Peak daily Use mm/day</t>
  </si>
  <si>
    <t>Operating Time min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</si>
</sst>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6"/>
      <name val="Times New Roman"/>
      <family val="1"/>
    </font>
    <font>
      <b/>
      <sz val="14"/>
      <color theme="6"/>
      <name val="Times New Roman"/>
      <family val="1"/>
    </font>
    <font>
      <b/>
      <sz val="14"/>
      <color rgb="FFFFFF00"/>
      <name val="Times New Roman"/>
      <family val="1"/>
    </font>
    <font>
      <sz val="14"/>
      <color rgb="FFFFFF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vertAlign val="superscript"/>
      <sz val="14"/>
      <color rgb="FFFF0000"/>
      <name val="Times New Roman"/>
      <family val="1"/>
    </font>
    <font>
      <sz val="24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" fillId="7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1" fillId="6" borderId="0" xfId="0" applyFont="1" applyFill="1"/>
    <xf numFmtId="0" fontId="3" fillId="1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1" fillId="11" borderId="0" xfId="0" applyFont="1" applyFill="1"/>
    <xf numFmtId="0" fontId="1" fillId="13" borderId="0" xfId="0" applyFont="1" applyFill="1" applyAlignment="1">
      <alignment horizontal="center"/>
    </xf>
    <xf numFmtId="0" fontId="1" fillId="13" borderId="0" xfId="0" applyFont="1" applyFill="1"/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4" borderId="0" xfId="0" applyFont="1" applyFill="1"/>
    <xf numFmtId="0" fontId="1" fillId="5" borderId="0" xfId="0" applyFont="1" applyFill="1"/>
    <xf numFmtId="0" fontId="3" fillId="8" borderId="0" xfId="0" applyFont="1" applyFill="1" applyAlignment="1">
      <alignment horizontal="center"/>
    </xf>
    <xf numFmtId="0" fontId="1" fillId="8" borderId="0" xfId="0" applyFont="1" applyFill="1"/>
    <xf numFmtId="0" fontId="7" fillId="5" borderId="0" xfId="0" applyFont="1" applyFill="1" applyAlignment="1">
      <alignment horizontal="center"/>
    </xf>
    <xf numFmtId="0" fontId="7" fillId="5" borderId="0" xfId="0" applyFont="1" applyFill="1"/>
    <xf numFmtId="0" fontId="8" fillId="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3" fillId="11" borderId="0" xfId="0" applyFont="1" applyFill="1"/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6" borderId="0" xfId="0" applyFont="1" applyFill="1"/>
    <xf numFmtId="0" fontId="3" fillId="10" borderId="0" xfId="0" applyFont="1" applyFill="1" applyAlignment="1">
      <alignment horizontal="center"/>
    </xf>
    <xf numFmtId="0" fontId="1" fillId="10" borderId="0" xfId="0" applyFont="1" applyFill="1"/>
    <xf numFmtId="0" fontId="1" fillId="9" borderId="0" xfId="0" applyFont="1" applyFill="1" applyAlignment="1">
      <alignment horizontal="center"/>
    </xf>
    <xf numFmtId="0" fontId="1" fillId="17" borderId="0" xfId="0" applyFont="1" applyFill="1"/>
    <xf numFmtId="0" fontId="9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4" fillId="1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tabSelected="1" topLeftCell="A10" zoomScale="70" zoomScaleNormal="70" workbookViewId="0">
      <selection activeCell="B23" sqref="B23"/>
    </sheetView>
  </sheetViews>
  <sheetFormatPr defaultRowHeight="18.75"/>
  <cols>
    <col min="1" max="1" width="9.5703125" style="1" customWidth="1"/>
    <col min="2" max="2" width="52.85546875" style="1" customWidth="1"/>
    <col min="3" max="3" width="36.5703125" style="1" customWidth="1"/>
    <col min="4" max="4" width="26.7109375" style="1" customWidth="1"/>
    <col min="5" max="5" width="31.140625" style="1" customWidth="1"/>
    <col min="6" max="6" width="25.5703125" style="1" customWidth="1"/>
    <col min="7" max="7" width="26" style="1" customWidth="1"/>
    <col min="8" max="16384" width="9.140625" style="1"/>
  </cols>
  <sheetData>
    <row r="1" spans="1:7">
      <c r="A1" s="49"/>
      <c r="B1" s="49"/>
      <c r="C1" s="49"/>
      <c r="D1" s="49"/>
      <c r="E1" s="49"/>
      <c r="F1" s="49"/>
      <c r="G1" s="49"/>
    </row>
    <row r="2" spans="1:7">
      <c r="A2" s="49"/>
      <c r="B2" s="49"/>
      <c r="C2" s="49"/>
      <c r="D2" s="49"/>
      <c r="E2" s="49"/>
      <c r="F2" s="49"/>
      <c r="G2" s="49"/>
    </row>
    <row r="3" spans="1:7" ht="68.25" customHeight="1">
      <c r="A3" s="49"/>
      <c r="B3" s="49"/>
      <c r="C3" s="60" t="s">
        <v>96</v>
      </c>
      <c r="D3" s="49"/>
      <c r="E3" s="49"/>
      <c r="F3" s="49"/>
      <c r="G3" s="49"/>
    </row>
    <row r="4" spans="1:7">
      <c r="A4" s="49"/>
      <c r="B4" s="49"/>
      <c r="C4" s="50"/>
      <c r="D4" s="50"/>
      <c r="E4" s="49"/>
      <c r="F4" s="49"/>
      <c r="G4" s="49"/>
    </row>
    <row r="5" spans="1:7">
      <c r="A5" s="15"/>
      <c r="B5" s="15"/>
      <c r="C5" s="51" t="s">
        <v>74</v>
      </c>
      <c r="D5" s="52"/>
      <c r="E5" s="15"/>
      <c r="F5" s="15"/>
      <c r="G5" s="15"/>
    </row>
    <row r="6" spans="1:7">
      <c r="A6" s="51"/>
      <c r="B6" s="52"/>
      <c r="C6" s="51">
        <v>10</v>
      </c>
      <c r="D6" s="52"/>
      <c r="E6" s="52"/>
      <c r="F6" s="15"/>
      <c r="G6" s="15"/>
    </row>
    <row r="7" spans="1:7" ht="37.5" customHeight="1">
      <c r="A7" s="18"/>
      <c r="B7" s="16"/>
      <c r="C7" s="16" t="s">
        <v>0</v>
      </c>
      <c r="D7" s="16" t="s">
        <v>97</v>
      </c>
      <c r="E7" s="16" t="s">
        <v>98</v>
      </c>
      <c r="F7" s="18"/>
      <c r="G7" s="18"/>
    </row>
    <row r="8" spans="1:7">
      <c r="A8" s="17">
        <v>1</v>
      </c>
      <c r="B8" s="16"/>
      <c r="C8" s="16">
        <v>1.2</v>
      </c>
      <c r="D8" s="16">
        <v>4.8</v>
      </c>
      <c r="E8" s="16">
        <f>C8*D8</f>
        <v>5.76</v>
      </c>
      <c r="F8" s="18"/>
      <c r="G8" s="18"/>
    </row>
    <row r="9" spans="1:7">
      <c r="A9" s="17"/>
      <c r="B9" s="16"/>
      <c r="C9" s="16"/>
      <c r="D9" s="16"/>
      <c r="E9" s="16"/>
      <c r="F9" s="18"/>
      <c r="G9" s="18"/>
    </row>
    <row r="10" spans="1:7" ht="37.5" customHeight="1">
      <c r="A10" s="3">
        <v>2</v>
      </c>
      <c r="B10" s="4" t="s">
        <v>80</v>
      </c>
      <c r="C10" s="4"/>
      <c r="D10" s="4"/>
      <c r="E10" s="4" t="s">
        <v>1</v>
      </c>
      <c r="F10" s="2"/>
      <c r="G10" s="2"/>
    </row>
    <row r="11" spans="1:7">
      <c r="A11" s="3"/>
      <c r="B11" s="4"/>
      <c r="C11" s="4"/>
      <c r="D11" s="4"/>
      <c r="E11" s="4">
        <v>1</v>
      </c>
      <c r="F11" s="2"/>
      <c r="G11" s="2"/>
    </row>
    <row r="12" spans="1:7">
      <c r="A12" s="36"/>
      <c r="B12" s="37">
        <v>3.8</v>
      </c>
      <c r="C12" s="37"/>
      <c r="D12" s="37"/>
      <c r="E12" s="37"/>
      <c r="F12" s="53"/>
      <c r="G12" s="53"/>
    </row>
    <row r="13" spans="1:7" ht="35.25" customHeight="1">
      <c r="A13" s="36">
        <v>3</v>
      </c>
      <c r="B13" s="37" t="s">
        <v>81</v>
      </c>
      <c r="C13" s="37" t="s">
        <v>79</v>
      </c>
      <c r="D13" s="37" t="s">
        <v>2</v>
      </c>
      <c r="E13" s="37" t="s">
        <v>99</v>
      </c>
      <c r="F13" s="53"/>
      <c r="G13" s="53"/>
    </row>
    <row r="14" spans="1:7">
      <c r="A14" s="36"/>
      <c r="B14" s="37">
        <v>3.2</v>
      </c>
      <c r="C14" s="37">
        <f>B14/(5*B12-B14)</f>
        <v>0.20253164556962025</v>
      </c>
      <c r="D14" s="37">
        <v>0.75</v>
      </c>
      <c r="E14" s="37">
        <f>E8*E11/(D14*(1-0))</f>
        <v>7.68</v>
      </c>
      <c r="F14" s="53"/>
      <c r="G14" s="53"/>
    </row>
    <row r="15" spans="1:7">
      <c r="A15" s="54"/>
      <c r="B15" s="11" t="s">
        <v>84</v>
      </c>
      <c r="C15" s="11" t="s">
        <v>86</v>
      </c>
      <c r="D15" s="11"/>
      <c r="E15" s="11"/>
      <c r="F15" s="55"/>
      <c r="G15" s="55"/>
    </row>
    <row r="16" spans="1:7">
      <c r="A16" s="54"/>
      <c r="B16" s="11">
        <v>100</v>
      </c>
      <c r="C16" s="11">
        <f>B16*D23/100</f>
        <v>41</v>
      </c>
      <c r="D16" s="11"/>
      <c r="E16" s="11"/>
      <c r="F16" s="55"/>
      <c r="G16" s="55"/>
    </row>
    <row r="17" spans="1:7">
      <c r="A17" s="54"/>
      <c r="B17" s="11" t="s">
        <v>85</v>
      </c>
      <c r="C17" s="11" t="s">
        <v>87</v>
      </c>
      <c r="D17" s="11"/>
      <c r="E17" s="11"/>
      <c r="F17" s="55"/>
      <c r="G17" s="55"/>
    </row>
    <row r="18" spans="1:7">
      <c r="A18" s="54"/>
      <c r="B18" s="11">
        <v>65</v>
      </c>
      <c r="C18" s="11">
        <f>0.65*2*C16</f>
        <v>53.300000000000004</v>
      </c>
      <c r="D18" s="11"/>
      <c r="E18" s="11"/>
      <c r="F18" s="55"/>
      <c r="G18" s="55"/>
    </row>
    <row r="19" spans="1:7" ht="32.25" customHeight="1">
      <c r="A19" s="7">
        <v>4</v>
      </c>
      <c r="B19" s="5" t="s">
        <v>42</v>
      </c>
      <c r="C19" s="5" t="s">
        <v>89</v>
      </c>
      <c r="D19" s="5" t="s">
        <v>8</v>
      </c>
      <c r="E19" s="5"/>
      <c r="F19" s="6"/>
      <c r="G19" s="6">
        <f>B23*D20</f>
        <v>40480</v>
      </c>
    </row>
    <row r="20" spans="1:7">
      <c r="A20" s="7"/>
      <c r="B20" s="5">
        <f>C6*4048</f>
        <v>40480</v>
      </c>
      <c r="C20" s="5">
        <v>20</v>
      </c>
      <c r="D20" s="5">
        <v>20</v>
      </c>
      <c r="E20" s="5"/>
      <c r="F20" s="6"/>
      <c r="G20" s="6"/>
    </row>
    <row r="21" spans="1:7">
      <c r="A21" s="7"/>
      <c r="B21" s="5"/>
      <c r="C21" s="5"/>
      <c r="D21" s="5"/>
      <c r="E21" s="5"/>
      <c r="F21" s="6"/>
      <c r="G21" s="6"/>
    </row>
    <row r="22" spans="1:7" ht="37.5" customHeight="1">
      <c r="A22" s="7">
        <v>5</v>
      </c>
      <c r="B22" s="5" t="s">
        <v>43</v>
      </c>
      <c r="C22" s="5" t="s">
        <v>82</v>
      </c>
      <c r="D22" s="5" t="s">
        <v>83</v>
      </c>
      <c r="E22" s="5" t="s">
        <v>88</v>
      </c>
      <c r="F22" s="6" t="s">
        <v>4</v>
      </c>
      <c r="G22" s="6" t="s">
        <v>3</v>
      </c>
    </row>
    <row r="23" spans="1:7">
      <c r="A23" s="7"/>
      <c r="B23" s="5">
        <f>B20/D20</f>
        <v>2024</v>
      </c>
      <c r="C23" s="5">
        <v>34776</v>
      </c>
      <c r="D23" s="5">
        <v>41</v>
      </c>
      <c r="E23" s="5">
        <v>1</v>
      </c>
      <c r="F23" s="6">
        <f>C23*E23</f>
        <v>34776</v>
      </c>
      <c r="G23" s="6">
        <f>F23/3600</f>
        <v>9.66</v>
      </c>
    </row>
    <row r="24" spans="1:7">
      <c r="A24" s="7"/>
      <c r="B24" s="56"/>
      <c r="C24" s="5"/>
      <c r="D24" s="5"/>
      <c r="E24" s="5"/>
      <c r="F24" s="6"/>
      <c r="G24" s="6"/>
    </row>
    <row r="25" spans="1:7" ht="39" customHeight="1">
      <c r="A25" s="42">
        <v>6</v>
      </c>
      <c r="B25" s="43" t="s">
        <v>5</v>
      </c>
      <c r="C25" s="38"/>
      <c r="D25" s="38"/>
      <c r="E25" s="38"/>
      <c r="F25" s="57"/>
      <c r="G25" s="57"/>
    </row>
    <row r="26" spans="1:7">
      <c r="A26" s="42"/>
      <c r="B26" s="43">
        <f>C20*C23/B20</f>
        <v>17.181818181818183</v>
      </c>
      <c r="C26" s="38"/>
      <c r="D26" s="38"/>
      <c r="E26" s="38"/>
      <c r="F26" s="57"/>
      <c r="G26" s="57"/>
    </row>
    <row r="27" spans="1:7" ht="16.5" customHeight="1">
      <c r="A27" s="42"/>
      <c r="B27" s="43"/>
      <c r="C27" s="38"/>
      <c r="D27" s="38"/>
      <c r="E27" s="38"/>
      <c r="F27" s="57"/>
      <c r="G27" s="57"/>
    </row>
    <row r="28" spans="1:7" ht="40.5" customHeight="1">
      <c r="A28" s="42">
        <v>7</v>
      </c>
      <c r="B28" s="43" t="s">
        <v>6</v>
      </c>
      <c r="C28" s="43" t="s">
        <v>100</v>
      </c>
      <c r="D28" s="38"/>
      <c r="E28" s="38"/>
      <c r="F28" s="57"/>
      <c r="G28" s="57"/>
    </row>
    <row r="29" spans="1:7">
      <c r="A29" s="42"/>
      <c r="B29" s="43">
        <f>E14/B26</f>
        <v>0.44698412698412693</v>
      </c>
      <c r="C29" s="38">
        <f>B29*60</f>
        <v>26.819047619047616</v>
      </c>
      <c r="D29" s="38"/>
      <c r="E29" s="38"/>
      <c r="F29" s="57"/>
      <c r="G29" s="57"/>
    </row>
    <row r="30" spans="1:7">
      <c r="A30" s="42"/>
      <c r="B30" s="43"/>
      <c r="C30" s="38"/>
      <c r="D30" s="38"/>
      <c r="E30" s="38"/>
      <c r="F30" s="57"/>
      <c r="G30" s="57"/>
    </row>
    <row r="31" spans="1:7" ht="39.75" customHeight="1">
      <c r="A31" s="42">
        <v>8</v>
      </c>
      <c r="B31" s="43" t="s">
        <v>7</v>
      </c>
      <c r="C31" s="38" t="s">
        <v>90</v>
      </c>
      <c r="D31" s="38" t="s">
        <v>91</v>
      </c>
      <c r="E31" s="38"/>
      <c r="F31" s="57"/>
      <c r="G31" s="57"/>
    </row>
    <row r="32" spans="1:7">
      <c r="A32" s="42"/>
      <c r="B32" s="43">
        <f>B29*D20</f>
        <v>8.9396825396825381</v>
      </c>
      <c r="C32" s="38">
        <v>1</v>
      </c>
      <c r="D32" s="38">
        <v>1</v>
      </c>
      <c r="E32" s="38"/>
      <c r="F32" s="57"/>
      <c r="G32" s="57"/>
    </row>
    <row r="33" spans="1:7">
      <c r="A33" s="42"/>
      <c r="B33" s="43"/>
      <c r="C33" s="38"/>
      <c r="D33" s="38"/>
      <c r="E33" s="38"/>
      <c r="F33" s="57"/>
      <c r="G33" s="57"/>
    </row>
    <row r="34" spans="1:7">
      <c r="A34" s="42"/>
      <c r="B34" s="43"/>
      <c r="C34" s="38"/>
      <c r="D34" s="38"/>
      <c r="E34" s="38"/>
      <c r="F34" s="57"/>
      <c r="G34" s="57"/>
    </row>
    <row r="35" spans="1:7" ht="33.75" customHeight="1">
      <c r="A35" s="14">
        <v>9</v>
      </c>
      <c r="B35" s="14" t="s">
        <v>71</v>
      </c>
      <c r="C35" s="13" t="s">
        <v>68</v>
      </c>
      <c r="D35" s="13" t="s">
        <v>70</v>
      </c>
      <c r="E35" s="13" t="s">
        <v>69</v>
      </c>
      <c r="F35" s="23" t="s">
        <v>72</v>
      </c>
      <c r="G35" s="23"/>
    </row>
    <row r="36" spans="1:7">
      <c r="A36" s="14"/>
      <c r="B36" s="14">
        <f>C23*E23*B32*D32/(C32*1000)</f>
        <v>310.88639999999998</v>
      </c>
      <c r="C36" s="14">
        <v>1.5</v>
      </c>
      <c r="D36" s="14">
        <f>B36/C36</f>
        <v>207.2576</v>
      </c>
      <c r="E36" s="14">
        <f>(D36)^0.5</f>
        <v>14.39644400537855</v>
      </c>
      <c r="F36" s="39">
        <f>(D36)^0.5</f>
        <v>14.39644400537855</v>
      </c>
      <c r="G36" s="23"/>
    </row>
    <row r="37" spans="1:7">
      <c r="A37" s="14"/>
      <c r="B37" s="13"/>
      <c r="C37" s="13"/>
      <c r="D37" s="13"/>
      <c r="E37" s="13"/>
      <c r="F37" s="23"/>
      <c r="G37" s="23"/>
    </row>
    <row r="38" spans="1:7" ht="45" customHeight="1">
      <c r="A38" s="12"/>
      <c r="B38" s="12"/>
      <c r="C38" s="9"/>
      <c r="D38" s="9"/>
      <c r="E38" s="9"/>
      <c r="F38" s="19"/>
      <c r="G38" s="19"/>
    </row>
    <row r="39" spans="1:7">
      <c r="A39" s="12"/>
      <c r="B39" s="9"/>
      <c r="C39" s="9"/>
      <c r="D39" s="9"/>
      <c r="E39" s="9"/>
      <c r="F39" s="19"/>
      <c r="G39" s="19"/>
    </row>
    <row r="40" spans="1:7">
      <c r="A40" s="12"/>
      <c r="B40" s="9"/>
      <c r="C40" s="9"/>
      <c r="D40" s="9"/>
      <c r="E40" s="9"/>
      <c r="F40" s="19"/>
      <c r="G40" s="19"/>
    </row>
    <row r="41" spans="1:7" ht="36" customHeight="1">
      <c r="A41" s="12"/>
      <c r="B41" s="9"/>
      <c r="C41" s="9"/>
      <c r="D41" s="9"/>
      <c r="E41" s="9"/>
      <c r="F41" s="19"/>
      <c r="G41" s="19"/>
    </row>
    <row r="42" spans="1:7">
      <c r="A42" s="12"/>
      <c r="B42" s="9"/>
      <c r="C42" s="9"/>
      <c r="D42" s="9"/>
      <c r="E42" s="9"/>
      <c r="F42" s="19"/>
      <c r="G42" s="19"/>
    </row>
    <row r="43" spans="1:7">
      <c r="A43" s="12"/>
      <c r="B43" s="9"/>
      <c r="C43" s="9"/>
      <c r="D43" s="9"/>
      <c r="E43" s="9"/>
      <c r="F43" s="19"/>
      <c r="G43" s="19"/>
    </row>
    <row r="44" spans="1:7" ht="38.25" customHeight="1">
      <c r="A44" s="12"/>
      <c r="B44" s="9"/>
      <c r="C44" s="9"/>
      <c r="D44" s="9"/>
      <c r="E44" s="9"/>
      <c r="F44" s="19"/>
      <c r="G44" s="19"/>
    </row>
    <row r="45" spans="1:7">
      <c r="A45" s="12"/>
      <c r="B45" s="9"/>
      <c r="C45" s="9"/>
      <c r="D45" s="9"/>
      <c r="E45" s="9"/>
      <c r="F45" s="19"/>
      <c r="G45" s="19"/>
    </row>
    <row r="46" spans="1:7">
      <c r="A46" s="12"/>
      <c r="B46" s="9"/>
      <c r="C46" s="9"/>
      <c r="D46" s="9"/>
      <c r="E46" s="9"/>
      <c r="F46" s="19"/>
      <c r="G46" s="19"/>
    </row>
    <row r="47" spans="1:7">
      <c r="A47" s="12"/>
      <c r="B47" s="9"/>
      <c r="C47" s="9"/>
      <c r="D47" s="9"/>
      <c r="E47" s="9"/>
      <c r="F47" s="19"/>
      <c r="G47" s="19"/>
    </row>
    <row r="48" spans="1:7" ht="42.75" customHeight="1">
      <c r="A48" s="12"/>
      <c r="B48" s="9"/>
      <c r="C48" s="9"/>
      <c r="D48" s="9"/>
      <c r="E48" s="9"/>
      <c r="F48" s="19"/>
      <c r="G48" s="19"/>
    </row>
    <row r="49" spans="1:7">
      <c r="A49" s="12"/>
      <c r="B49" s="9"/>
      <c r="C49" s="9"/>
      <c r="D49" s="9"/>
      <c r="E49" s="9"/>
      <c r="F49" s="19"/>
      <c r="G49" s="19"/>
    </row>
    <row r="50" spans="1:7">
      <c r="A50" s="12"/>
      <c r="B50" s="9"/>
      <c r="C50" s="9"/>
      <c r="D50" s="9"/>
      <c r="E50" s="9"/>
      <c r="F50" s="19"/>
      <c r="G50" s="19"/>
    </row>
    <row r="51" spans="1:7" ht="35.25" customHeight="1">
      <c r="A51" s="12"/>
      <c r="B51" s="9"/>
      <c r="C51" s="9"/>
      <c r="D51" s="9"/>
      <c r="E51" s="9"/>
      <c r="F51" s="19"/>
      <c r="G51" s="19"/>
    </row>
    <row r="52" spans="1:7">
      <c r="A52" s="12"/>
      <c r="B52" s="9"/>
      <c r="C52" s="9"/>
      <c r="D52" s="9"/>
      <c r="E52" s="9"/>
      <c r="F52" s="19"/>
      <c r="G52" s="19"/>
    </row>
    <row r="53" spans="1:7">
      <c r="A53" s="12"/>
      <c r="B53" s="9"/>
      <c r="C53" s="9"/>
      <c r="D53" s="9"/>
      <c r="E53" s="9"/>
      <c r="F53" s="19"/>
      <c r="G53" s="19"/>
    </row>
    <row r="54" spans="1:7" ht="42.75" customHeight="1">
      <c r="A54" s="12"/>
      <c r="B54" s="9"/>
      <c r="C54" s="9"/>
      <c r="D54" s="9"/>
      <c r="E54" s="9"/>
      <c r="F54" s="19"/>
      <c r="G54" s="19"/>
    </row>
    <row r="55" spans="1:7">
      <c r="A55" s="12"/>
      <c r="B55" s="9"/>
      <c r="C55" s="9"/>
      <c r="D55" s="9"/>
      <c r="E55" s="9"/>
      <c r="F55" s="19"/>
      <c r="G55" s="19"/>
    </row>
    <row r="56" spans="1:7">
      <c r="A56" s="12"/>
      <c r="B56" s="9"/>
      <c r="C56" s="9"/>
      <c r="D56" s="9"/>
      <c r="E56" s="9"/>
      <c r="F56" s="19"/>
      <c r="G56" s="19"/>
    </row>
    <row r="57" spans="1:7" ht="48.75" customHeight="1">
      <c r="A57" s="12"/>
      <c r="B57" s="9"/>
      <c r="C57" s="9"/>
      <c r="D57" s="9"/>
      <c r="E57" s="9"/>
      <c r="F57" s="19"/>
      <c r="G57" s="19"/>
    </row>
    <row r="58" spans="1:7">
      <c r="A58" s="12"/>
      <c r="B58" s="9"/>
      <c r="C58" s="9"/>
      <c r="D58" s="9"/>
      <c r="E58" s="9"/>
      <c r="F58" s="19"/>
      <c r="G58" s="19"/>
    </row>
    <row r="59" spans="1:7">
      <c r="A59" s="12"/>
      <c r="B59" s="9"/>
      <c r="C59" s="9"/>
      <c r="D59" s="9"/>
      <c r="E59" s="9"/>
      <c r="F59" s="19"/>
      <c r="G59" s="19"/>
    </row>
    <row r="60" spans="1:7" ht="42.75" customHeight="1">
      <c r="A60" s="12"/>
      <c r="B60" s="12"/>
      <c r="C60" s="9"/>
      <c r="D60" s="9"/>
      <c r="E60" s="9"/>
      <c r="F60" s="19"/>
      <c r="G60" s="19"/>
    </row>
    <row r="61" spans="1:7">
      <c r="A61" s="12"/>
      <c r="B61" s="9"/>
      <c r="C61" s="9"/>
      <c r="D61" s="9"/>
      <c r="E61" s="9"/>
      <c r="F61" s="19"/>
      <c r="G61" s="19"/>
    </row>
    <row r="62" spans="1:7">
      <c r="A62" s="12"/>
      <c r="B62" s="9"/>
      <c r="C62" s="9"/>
      <c r="D62" s="9"/>
      <c r="E62" s="21"/>
      <c r="F62" s="19"/>
      <c r="G62" s="19"/>
    </row>
    <row r="63" spans="1:7">
      <c r="A63" s="20"/>
      <c r="B63" s="21"/>
      <c r="C63" s="21"/>
      <c r="D63" s="21"/>
      <c r="E63" s="21"/>
      <c r="F63" s="22"/>
      <c r="G63" s="22"/>
    </row>
    <row r="64" spans="1:7" ht="39.75" customHeight="1">
      <c r="A64" s="20">
        <v>2</v>
      </c>
      <c r="B64" s="20" t="s">
        <v>14</v>
      </c>
      <c r="C64" s="21"/>
      <c r="E64" s="21"/>
      <c r="F64" s="22"/>
      <c r="G64" s="22"/>
    </row>
    <row r="65" spans="1:7">
      <c r="A65" s="20"/>
      <c r="B65" s="21">
        <v>226</v>
      </c>
      <c r="C65" s="21"/>
      <c r="D65" s="21"/>
      <c r="E65" s="21"/>
      <c r="F65" s="22"/>
      <c r="G65" s="22"/>
    </row>
    <row r="66" spans="1:7">
      <c r="A66" s="20"/>
      <c r="B66" s="21"/>
      <c r="C66" s="21"/>
      <c r="D66" s="21"/>
      <c r="E66" s="21"/>
      <c r="F66" s="22"/>
      <c r="G66" s="22"/>
    </row>
    <row r="67" spans="1:7">
      <c r="A67" s="20" t="s">
        <v>9</v>
      </c>
      <c r="B67" s="21" t="s">
        <v>15</v>
      </c>
      <c r="C67" s="21"/>
      <c r="D67" s="21"/>
      <c r="E67" s="21">
        <f>326-2*44.2</f>
        <v>237.6</v>
      </c>
      <c r="F67" s="22"/>
      <c r="G67" s="22"/>
    </row>
    <row r="68" spans="1:7">
      <c r="A68" s="20"/>
      <c r="B68" s="21">
        <v>107.5</v>
      </c>
      <c r="C68" s="21"/>
      <c r="D68" s="21"/>
      <c r="E68" s="21"/>
      <c r="F68" s="22"/>
      <c r="G68" s="22"/>
    </row>
    <row r="69" spans="1:7">
      <c r="A69" s="20"/>
      <c r="B69" s="21"/>
      <c r="C69" s="21"/>
      <c r="D69" s="21"/>
      <c r="E69" s="21"/>
      <c r="F69" s="22"/>
      <c r="G69" s="22"/>
    </row>
    <row r="70" spans="1:7" ht="42" customHeight="1">
      <c r="A70" s="20" t="s">
        <v>10</v>
      </c>
      <c r="B70" s="21" t="s">
        <v>16</v>
      </c>
      <c r="C70" s="21"/>
      <c r="D70" s="21"/>
      <c r="E70" s="21"/>
      <c r="F70" s="22"/>
      <c r="G70" s="22"/>
    </row>
    <row r="71" spans="1:7">
      <c r="A71" s="20"/>
      <c r="B71" s="21">
        <f>G23/2</f>
        <v>4.83</v>
      </c>
      <c r="C71" s="21"/>
      <c r="D71" s="21"/>
      <c r="E71" s="21"/>
      <c r="F71" s="22"/>
      <c r="G71" s="22"/>
    </row>
    <row r="72" spans="1:7">
      <c r="A72" s="20"/>
      <c r="B72" s="21"/>
      <c r="C72" s="21"/>
      <c r="D72" s="21"/>
      <c r="E72" s="21"/>
      <c r="F72" s="22"/>
      <c r="G72" s="22"/>
    </row>
    <row r="73" spans="1:7" ht="39" customHeight="1">
      <c r="A73" s="20" t="s">
        <v>11</v>
      </c>
      <c r="B73" s="21" t="s">
        <v>17</v>
      </c>
      <c r="C73" s="21" t="s">
        <v>12</v>
      </c>
      <c r="D73" s="21"/>
      <c r="E73" s="21"/>
      <c r="F73" s="22"/>
      <c r="G73" s="22"/>
    </row>
    <row r="74" spans="1:7">
      <c r="A74" s="20"/>
      <c r="B74" s="21">
        <f>B71*2</f>
        <v>9.66</v>
      </c>
      <c r="C74" s="21">
        <v>1212000000000</v>
      </c>
      <c r="D74" s="21"/>
      <c r="E74" s="21"/>
      <c r="F74" s="22"/>
      <c r="G74" s="22"/>
    </row>
    <row r="75" spans="1:7">
      <c r="A75" s="20"/>
      <c r="B75" s="21"/>
      <c r="C75" s="21"/>
      <c r="D75" s="21"/>
      <c r="E75" s="21"/>
      <c r="F75" s="22"/>
      <c r="G75" s="22"/>
    </row>
    <row r="76" spans="1:7">
      <c r="A76" s="20"/>
      <c r="B76" s="21"/>
      <c r="C76" s="21"/>
      <c r="D76" s="21"/>
      <c r="E76" s="21"/>
      <c r="F76" s="22"/>
      <c r="G76" s="22"/>
    </row>
    <row r="77" spans="1:7" ht="44.25" customHeight="1">
      <c r="A77" s="20" t="s">
        <v>13</v>
      </c>
      <c r="B77" s="21" t="s">
        <v>19</v>
      </c>
      <c r="C77" s="21" t="s">
        <v>20</v>
      </c>
      <c r="D77" s="21" t="s">
        <v>73</v>
      </c>
      <c r="E77" s="21" t="s">
        <v>22</v>
      </c>
      <c r="F77" s="22"/>
      <c r="G77" s="22"/>
    </row>
    <row r="78" spans="1:7">
      <c r="A78" s="20"/>
      <c r="B78" s="21">
        <f>B71</f>
        <v>4.83</v>
      </c>
      <c r="C78" s="21">
        <v>150</v>
      </c>
      <c r="D78" s="21">
        <f>(B74/C78)^1.85</f>
        <v>6.2580474913446994E-3</v>
      </c>
      <c r="E78" s="21">
        <f>B68</f>
        <v>107.5</v>
      </c>
      <c r="F78" s="22"/>
      <c r="G78" s="22"/>
    </row>
    <row r="79" spans="1:7">
      <c r="A79" s="20"/>
      <c r="B79" s="21"/>
      <c r="C79" s="21"/>
      <c r="D79" s="21"/>
      <c r="E79" s="21"/>
      <c r="F79" s="22"/>
      <c r="G79" s="22"/>
    </row>
    <row r="80" spans="1:7" ht="34.5" customHeight="1">
      <c r="A80" s="20"/>
      <c r="B80" s="21" t="s">
        <v>41</v>
      </c>
      <c r="C80" s="21"/>
      <c r="D80" s="21"/>
      <c r="E80" s="21"/>
      <c r="F80" s="22"/>
      <c r="G80" s="22"/>
    </row>
    <row r="81" spans="1:7">
      <c r="A81" s="20"/>
      <c r="B81" s="21">
        <f>E78^(-4.87)</f>
        <v>1.2795014402929756E-10</v>
      </c>
      <c r="C81" s="21"/>
      <c r="D81" s="21"/>
      <c r="E81" s="21"/>
      <c r="F81" s="22"/>
      <c r="G81" s="22"/>
    </row>
    <row r="82" spans="1:7" ht="42.75" customHeight="1">
      <c r="A82" s="20"/>
      <c r="B82" s="21" t="s">
        <v>18</v>
      </c>
      <c r="C82" s="21" t="s">
        <v>23</v>
      </c>
      <c r="D82" s="21" t="s">
        <v>21</v>
      </c>
      <c r="E82" s="21"/>
      <c r="F82" s="22"/>
      <c r="G82" s="22"/>
    </row>
    <row r="83" spans="1:7">
      <c r="A83" s="20"/>
      <c r="B83" s="21">
        <f>B81*D78*C74</f>
        <v>0.97047031036600317</v>
      </c>
      <c r="C83" s="21">
        <v>4</v>
      </c>
      <c r="D83" s="21">
        <v>1</v>
      </c>
      <c r="E83" s="21"/>
      <c r="F83" s="22"/>
      <c r="G83" s="22"/>
    </row>
    <row r="84" spans="1:7">
      <c r="A84" s="20"/>
      <c r="B84" s="21"/>
      <c r="C84" s="21"/>
      <c r="D84" s="21"/>
      <c r="E84" s="21"/>
      <c r="F84" s="22"/>
      <c r="G84" s="22"/>
    </row>
    <row r="85" spans="1:7" ht="63.75" customHeight="1">
      <c r="A85" s="20"/>
      <c r="B85" s="21" t="s">
        <v>26</v>
      </c>
      <c r="C85" s="21"/>
      <c r="D85" s="21"/>
      <c r="E85" s="21"/>
      <c r="F85" s="22"/>
      <c r="G85" s="22"/>
    </row>
    <row r="86" spans="1:7">
      <c r="A86" s="20"/>
      <c r="B86" s="21">
        <f>B83*D83</f>
        <v>0.97047031036600317</v>
      </c>
      <c r="C86" s="21"/>
      <c r="D86" s="21"/>
      <c r="E86" s="21"/>
      <c r="F86" s="22"/>
      <c r="G86" s="22"/>
    </row>
    <row r="87" spans="1:7">
      <c r="A87" s="20"/>
      <c r="B87" s="21"/>
      <c r="C87" s="21"/>
      <c r="D87" s="21"/>
      <c r="E87" s="21"/>
      <c r="F87" s="22"/>
      <c r="G87" s="22"/>
    </row>
    <row r="88" spans="1:7" ht="45.75" customHeight="1">
      <c r="A88" s="20" t="s">
        <v>24</v>
      </c>
      <c r="B88" s="20" t="s">
        <v>25</v>
      </c>
      <c r="C88" s="21"/>
      <c r="D88" s="21"/>
      <c r="E88" s="21"/>
      <c r="F88" s="22"/>
      <c r="G88" s="22"/>
    </row>
    <row r="89" spans="1:7">
      <c r="A89" s="20"/>
      <c r="B89" s="21">
        <f>(B86*B65)/100</f>
        <v>2.193262901427167</v>
      </c>
      <c r="C89" s="21"/>
      <c r="D89" s="21"/>
      <c r="E89" s="21"/>
      <c r="F89" s="22"/>
      <c r="G89" s="22"/>
    </row>
    <row r="90" spans="1:7">
      <c r="A90" s="20"/>
      <c r="B90" s="21"/>
      <c r="C90" s="21"/>
      <c r="D90" s="21"/>
      <c r="E90" s="21"/>
      <c r="F90" s="22"/>
      <c r="G90" s="22"/>
    </row>
    <row r="91" spans="1:7">
      <c r="A91" s="20"/>
      <c r="B91" s="21"/>
      <c r="C91" s="21"/>
      <c r="D91" s="21"/>
      <c r="E91" s="21"/>
      <c r="F91" s="22"/>
      <c r="G91" s="22"/>
    </row>
    <row r="92" spans="1:7" ht="39" customHeight="1">
      <c r="A92" s="20" t="s">
        <v>27</v>
      </c>
      <c r="B92" s="21" t="s">
        <v>44</v>
      </c>
      <c r="C92" s="21"/>
      <c r="D92" s="21"/>
      <c r="E92" s="21"/>
      <c r="F92" s="22"/>
      <c r="G92" s="22"/>
    </row>
    <row r="93" spans="1:7">
      <c r="A93" s="20"/>
      <c r="B93" s="21">
        <f>3.14*(B68/1000)^2/4</f>
        <v>9.071656249999999E-3</v>
      </c>
      <c r="C93" s="21"/>
      <c r="D93" s="21"/>
      <c r="E93" s="21"/>
      <c r="F93" s="22"/>
      <c r="G93" s="22"/>
    </row>
    <row r="94" spans="1:7">
      <c r="A94" s="20"/>
      <c r="B94" s="21"/>
      <c r="C94" s="21"/>
      <c r="D94" s="21"/>
      <c r="E94" s="21"/>
      <c r="F94" s="22"/>
      <c r="G94" s="22"/>
    </row>
    <row r="95" spans="1:7" ht="38.25" customHeight="1">
      <c r="A95" s="20"/>
      <c r="B95" s="20" t="s">
        <v>28</v>
      </c>
      <c r="C95" s="21"/>
      <c r="D95" s="21"/>
      <c r="E95" s="21"/>
      <c r="F95" s="22"/>
      <c r="G95" s="22"/>
    </row>
    <row r="96" spans="1:7" ht="23.25" customHeight="1">
      <c r="A96" s="20"/>
      <c r="B96" s="21">
        <f>(B74/1000)/B93</f>
        <v>1.0648551635761112</v>
      </c>
      <c r="C96" s="21"/>
      <c r="D96" s="21"/>
      <c r="E96" s="21"/>
      <c r="F96" s="22"/>
      <c r="G96" s="22"/>
    </row>
    <row r="97" spans="1:7">
      <c r="A97" s="20"/>
      <c r="B97" s="21"/>
      <c r="C97" s="21"/>
      <c r="D97" s="21"/>
      <c r="E97" s="21"/>
      <c r="F97" s="22"/>
      <c r="G97" s="22"/>
    </row>
    <row r="98" spans="1:7" ht="42.75" customHeight="1">
      <c r="A98" s="14">
        <v>3</v>
      </c>
      <c r="B98" s="14" t="s">
        <v>29</v>
      </c>
      <c r="C98" s="13" t="s">
        <v>92</v>
      </c>
      <c r="D98" s="13"/>
      <c r="E98" s="13"/>
      <c r="F98" s="23">
        <f>53.04*3+163</f>
        <v>322.12</v>
      </c>
      <c r="G98" s="23"/>
    </row>
    <row r="99" spans="1:7">
      <c r="A99" s="14"/>
      <c r="B99" s="13">
        <v>180</v>
      </c>
      <c r="C99" s="13">
        <v>107.5</v>
      </c>
      <c r="D99" s="13"/>
      <c r="E99" s="13"/>
      <c r="F99" s="23"/>
      <c r="G99" s="23"/>
    </row>
    <row r="100" spans="1:7">
      <c r="A100" s="14"/>
      <c r="B100" s="13"/>
      <c r="C100" s="13"/>
      <c r="D100" s="13"/>
      <c r="E100" s="13"/>
      <c r="F100" s="23"/>
      <c r="G100" s="23"/>
    </row>
    <row r="101" spans="1:7" ht="48.75" customHeight="1">
      <c r="A101" s="14" t="s">
        <v>9</v>
      </c>
      <c r="B101" s="13" t="s">
        <v>30</v>
      </c>
      <c r="C101" s="13" t="s">
        <v>31</v>
      </c>
      <c r="D101" s="13" t="s">
        <v>93</v>
      </c>
      <c r="E101" s="14" t="s">
        <v>32</v>
      </c>
      <c r="F101" s="23"/>
      <c r="G101" s="23"/>
    </row>
    <row r="102" spans="1:7">
      <c r="A102" s="14"/>
      <c r="B102" s="13">
        <f>F23</f>
        <v>34776</v>
      </c>
      <c r="C102" s="13">
        <f>B102/3600</f>
        <v>9.66</v>
      </c>
      <c r="D102" s="13">
        <f>3.14*(C99/1000)^2/4</f>
        <v>9.071656249999999E-3</v>
      </c>
      <c r="E102" s="14">
        <f>(C102/1000)/D102</f>
        <v>1.0648551635761112</v>
      </c>
      <c r="F102" s="23"/>
      <c r="G102" s="23"/>
    </row>
    <row r="103" spans="1:7">
      <c r="A103" s="14"/>
      <c r="B103" s="13"/>
      <c r="C103" s="13"/>
      <c r="D103" s="13"/>
      <c r="E103" s="13"/>
      <c r="F103" s="23"/>
      <c r="G103" s="23"/>
    </row>
    <row r="104" spans="1:7" ht="51.75" customHeight="1">
      <c r="A104" s="14" t="s">
        <v>10</v>
      </c>
      <c r="B104" s="13" t="s">
        <v>20</v>
      </c>
      <c r="C104" s="13" t="s">
        <v>73</v>
      </c>
      <c r="D104" s="13" t="s">
        <v>22</v>
      </c>
      <c r="E104" s="13" t="s">
        <v>41</v>
      </c>
      <c r="F104" s="23"/>
      <c r="G104" s="23"/>
    </row>
    <row r="105" spans="1:7">
      <c r="A105" s="14"/>
      <c r="B105" s="13">
        <v>150</v>
      </c>
      <c r="C105" s="13">
        <f>(C102/B105)^1.85</f>
        <v>6.2580474913446994E-3</v>
      </c>
      <c r="D105" s="13">
        <f>C99</f>
        <v>107.5</v>
      </c>
      <c r="E105" s="13">
        <f>(D105)^(-4.87)</f>
        <v>1.2795014402929756E-10</v>
      </c>
      <c r="F105" s="23"/>
      <c r="G105" s="23"/>
    </row>
    <row r="106" spans="1:7">
      <c r="A106" s="14"/>
      <c r="B106" s="13"/>
      <c r="C106" s="13"/>
      <c r="D106" s="13"/>
      <c r="E106" s="13"/>
      <c r="F106" s="23"/>
      <c r="G106" s="23"/>
    </row>
    <row r="107" spans="1:7" ht="49.5" customHeight="1">
      <c r="A107" s="14" t="s">
        <v>11</v>
      </c>
      <c r="B107" s="13" t="s">
        <v>33</v>
      </c>
      <c r="C107" s="13"/>
      <c r="D107" s="13"/>
      <c r="E107" s="13"/>
      <c r="F107" s="23"/>
      <c r="G107" s="23"/>
    </row>
    <row r="108" spans="1:7">
      <c r="A108" s="14"/>
      <c r="B108" s="13">
        <f>E105*C105*C74</f>
        <v>0.97047031036600317</v>
      </c>
      <c r="C108" s="13"/>
      <c r="D108" s="13"/>
      <c r="E108" s="13"/>
      <c r="F108" s="23"/>
      <c r="G108" s="23"/>
    </row>
    <row r="109" spans="1:7">
      <c r="A109" s="14"/>
      <c r="B109" s="13"/>
      <c r="C109" s="13"/>
      <c r="D109" s="13"/>
      <c r="E109" s="13"/>
      <c r="F109" s="23"/>
      <c r="G109" s="23"/>
    </row>
    <row r="110" spans="1:7" ht="45" customHeight="1">
      <c r="A110" s="14"/>
      <c r="B110" s="14" t="s">
        <v>47</v>
      </c>
      <c r="C110" s="13"/>
      <c r="D110" s="13"/>
      <c r="E110" s="13"/>
      <c r="F110" s="23"/>
      <c r="G110" s="23"/>
    </row>
    <row r="111" spans="1:7">
      <c r="A111" s="14"/>
      <c r="B111" s="13">
        <f>B108*476/100</f>
        <v>4.6194386773421749</v>
      </c>
      <c r="C111" s="13"/>
      <c r="D111" s="13"/>
      <c r="E111" s="13"/>
      <c r="F111" s="23"/>
      <c r="G111" s="23"/>
    </row>
    <row r="112" spans="1:7">
      <c r="A112" s="14"/>
      <c r="B112" s="13"/>
      <c r="C112" s="13"/>
      <c r="D112" s="13"/>
      <c r="E112" s="13"/>
      <c r="F112" s="23"/>
      <c r="G112" s="23"/>
    </row>
    <row r="113" spans="1:7">
      <c r="A113" s="44"/>
      <c r="B113" s="45"/>
      <c r="C113" s="45"/>
      <c r="D113" s="45"/>
      <c r="E113" s="45"/>
      <c r="F113" s="46"/>
      <c r="G113" s="19"/>
    </row>
    <row r="114" spans="1:7" ht="33" customHeight="1">
      <c r="A114" s="44">
        <v>4</v>
      </c>
      <c r="B114" s="44" t="s">
        <v>34</v>
      </c>
      <c r="C114" s="45" t="s">
        <v>35</v>
      </c>
      <c r="D114" s="45" t="s">
        <v>20</v>
      </c>
      <c r="E114" s="45" t="s">
        <v>77</v>
      </c>
      <c r="F114" s="46"/>
      <c r="G114" s="19"/>
    </row>
    <row r="115" spans="1:7" ht="24" customHeight="1">
      <c r="A115" s="44"/>
      <c r="B115" s="45">
        <v>5</v>
      </c>
      <c r="C115" s="45">
        <v>107.5</v>
      </c>
      <c r="D115" s="45">
        <v>150</v>
      </c>
      <c r="E115" s="45">
        <f>(C102/D115)^1.85</f>
        <v>6.2580474913446994E-3</v>
      </c>
      <c r="F115" s="46"/>
      <c r="G115" s="19"/>
    </row>
    <row r="116" spans="1:7" ht="33" customHeight="1">
      <c r="A116" s="44"/>
      <c r="B116" s="45" t="s">
        <v>78</v>
      </c>
      <c r="C116" s="45" t="s">
        <v>94</v>
      </c>
      <c r="D116" s="45"/>
      <c r="E116" s="45"/>
      <c r="F116" s="46"/>
      <c r="G116" s="19"/>
    </row>
    <row r="117" spans="1:7">
      <c r="A117" s="44"/>
      <c r="B117" s="45">
        <f>(C115)^(-4.87)</f>
        <v>1.2795014402929756E-10</v>
      </c>
      <c r="C117" s="45"/>
      <c r="D117" s="45"/>
      <c r="E117" s="45"/>
      <c r="F117" s="46"/>
      <c r="G117" s="19"/>
    </row>
    <row r="118" spans="1:7">
      <c r="A118" s="44"/>
      <c r="B118" s="45"/>
      <c r="C118" s="45"/>
      <c r="D118" s="45"/>
      <c r="E118" s="45"/>
      <c r="F118" s="46"/>
      <c r="G118" s="19"/>
    </row>
    <row r="119" spans="1:7">
      <c r="A119" s="44"/>
      <c r="B119" s="45" t="s">
        <v>36</v>
      </c>
      <c r="C119" s="45"/>
      <c r="D119" s="45"/>
      <c r="E119" s="45"/>
      <c r="F119" s="46"/>
      <c r="G119" s="19"/>
    </row>
    <row r="120" spans="1:7">
      <c r="A120" s="44"/>
      <c r="B120" s="45">
        <f>B117*E115*C74</f>
        <v>0.97047031036600317</v>
      </c>
      <c r="C120" s="45"/>
      <c r="D120" s="45"/>
      <c r="E120" s="45"/>
      <c r="F120" s="46"/>
      <c r="G120" s="19"/>
    </row>
    <row r="121" spans="1:7">
      <c r="A121" s="44"/>
      <c r="B121" s="45"/>
      <c r="C121" s="45"/>
      <c r="D121" s="45"/>
      <c r="E121" s="45"/>
      <c r="F121" s="46"/>
      <c r="G121" s="19"/>
    </row>
    <row r="122" spans="1:7" ht="37.5" customHeight="1">
      <c r="A122" s="44"/>
      <c r="B122" s="44" t="s">
        <v>37</v>
      </c>
      <c r="C122" s="45"/>
      <c r="D122" s="45"/>
      <c r="E122" s="45"/>
      <c r="F122" s="46"/>
      <c r="G122" s="19"/>
    </row>
    <row r="123" spans="1:7">
      <c r="A123" s="44"/>
      <c r="B123" s="45">
        <f>B120*B115/100</f>
        <v>4.8523515518300163E-2</v>
      </c>
      <c r="C123" s="45"/>
      <c r="D123" s="45"/>
      <c r="E123" s="45"/>
      <c r="F123" s="46"/>
      <c r="G123" s="19"/>
    </row>
    <row r="124" spans="1:7">
      <c r="A124" s="44"/>
      <c r="B124" s="45"/>
      <c r="C124" s="45"/>
      <c r="D124" s="45"/>
      <c r="E124" s="45"/>
      <c r="F124" s="46"/>
      <c r="G124" s="19"/>
    </row>
    <row r="125" spans="1:7" ht="39" customHeight="1">
      <c r="A125" s="44">
        <v>5</v>
      </c>
      <c r="B125" s="44" t="s">
        <v>38</v>
      </c>
      <c r="C125" s="45" t="s">
        <v>39</v>
      </c>
      <c r="D125" s="45" t="s">
        <v>20</v>
      </c>
      <c r="E125" s="45" t="s">
        <v>77</v>
      </c>
      <c r="F125" s="46"/>
      <c r="G125" s="19"/>
    </row>
    <row r="126" spans="1:7">
      <c r="A126" s="44"/>
      <c r="B126" s="45">
        <v>1</v>
      </c>
      <c r="C126" s="45">
        <v>107.5</v>
      </c>
      <c r="D126" s="45">
        <v>150</v>
      </c>
      <c r="E126" s="45">
        <f>(C102/D126)^1.85</f>
        <v>6.2580474913446994E-3</v>
      </c>
      <c r="F126" s="46"/>
      <c r="G126" s="19"/>
    </row>
    <row r="127" spans="1:7">
      <c r="A127" s="44"/>
      <c r="B127" s="45"/>
      <c r="C127" s="45"/>
      <c r="D127" s="45"/>
      <c r="E127" s="45"/>
      <c r="F127" s="46"/>
      <c r="G127" s="19"/>
    </row>
    <row r="128" spans="1:7" ht="39" customHeight="1">
      <c r="A128" s="44"/>
      <c r="B128" s="45" t="s">
        <v>78</v>
      </c>
      <c r="C128" s="45"/>
      <c r="D128" s="45"/>
      <c r="E128" s="45"/>
      <c r="F128" s="46"/>
      <c r="G128" s="19"/>
    </row>
    <row r="129" spans="1:7" ht="20.25" customHeight="1">
      <c r="A129" s="44"/>
      <c r="B129" s="45">
        <f>(C126)^(-4.87)</f>
        <v>1.2795014402929756E-10</v>
      </c>
      <c r="C129" s="45"/>
      <c r="D129" s="45"/>
      <c r="E129" s="45"/>
      <c r="F129" s="46"/>
      <c r="G129" s="19"/>
    </row>
    <row r="130" spans="1:7" ht="17.25" customHeight="1">
      <c r="A130" s="44"/>
      <c r="B130" s="45"/>
      <c r="C130" s="45"/>
      <c r="D130" s="45"/>
      <c r="E130" s="45"/>
      <c r="F130" s="46"/>
      <c r="G130" s="19"/>
    </row>
    <row r="131" spans="1:7" ht="42" customHeight="1">
      <c r="A131" s="44"/>
      <c r="B131" s="45" t="s">
        <v>75</v>
      </c>
      <c r="C131" s="45"/>
      <c r="D131" s="45"/>
      <c r="E131" s="45"/>
      <c r="F131" s="46"/>
      <c r="G131" s="19"/>
    </row>
    <row r="132" spans="1:7">
      <c r="A132" s="44"/>
      <c r="B132" s="45">
        <f>B129*E126*C74</f>
        <v>0.97047031036600317</v>
      </c>
      <c r="C132" s="45"/>
      <c r="D132" s="45"/>
      <c r="E132" s="45"/>
      <c r="F132" s="46"/>
      <c r="G132" s="19"/>
    </row>
    <row r="133" spans="1:7">
      <c r="A133" s="44"/>
      <c r="B133" s="45"/>
      <c r="C133" s="45"/>
      <c r="D133" s="45"/>
      <c r="E133" s="45"/>
      <c r="F133" s="46"/>
      <c r="G133" s="19"/>
    </row>
    <row r="134" spans="1:7" ht="42" customHeight="1">
      <c r="A134" s="44"/>
      <c r="B134" s="44" t="s">
        <v>40</v>
      </c>
      <c r="C134" s="45"/>
      <c r="D134" s="45"/>
      <c r="E134" s="45"/>
      <c r="F134" s="46"/>
      <c r="G134" s="19"/>
    </row>
    <row r="135" spans="1:7">
      <c r="A135" s="44"/>
      <c r="B135" s="45">
        <f>B132*B126/100</f>
        <v>9.7047031036600322E-3</v>
      </c>
      <c r="C135" s="45"/>
      <c r="D135" s="45"/>
      <c r="E135" s="45"/>
      <c r="F135" s="46"/>
      <c r="G135" s="19"/>
    </row>
    <row r="136" spans="1:7">
      <c r="A136" s="44"/>
      <c r="B136" s="45"/>
      <c r="C136" s="45"/>
      <c r="D136" s="45"/>
      <c r="E136" s="45"/>
      <c r="F136" s="46"/>
      <c r="G136" s="19"/>
    </row>
    <row r="137" spans="1:7">
      <c r="A137" s="44"/>
      <c r="B137" s="45"/>
      <c r="C137" s="45"/>
      <c r="D137" s="45"/>
      <c r="E137" s="45"/>
      <c r="F137" s="46"/>
      <c r="G137" s="19"/>
    </row>
    <row r="138" spans="1:7" ht="43.5" customHeight="1">
      <c r="A138" s="7">
        <v>6</v>
      </c>
      <c r="B138" s="7" t="s">
        <v>95</v>
      </c>
      <c r="C138" s="5"/>
      <c r="D138" s="5"/>
      <c r="E138" s="5"/>
      <c r="F138" s="6"/>
      <c r="G138" s="6"/>
    </row>
    <row r="139" spans="1:7">
      <c r="A139" s="7"/>
      <c r="B139" s="5">
        <v>40</v>
      </c>
      <c r="C139" s="5"/>
      <c r="D139" s="5"/>
      <c r="E139" s="5"/>
      <c r="F139" s="6"/>
      <c r="G139" s="6"/>
    </row>
    <row r="140" spans="1:7">
      <c r="A140" s="7"/>
      <c r="B140" s="5"/>
      <c r="C140" s="5"/>
      <c r="D140" s="5"/>
      <c r="E140" s="5"/>
      <c r="F140" s="6"/>
      <c r="G140" s="6"/>
    </row>
    <row r="141" spans="1:7" ht="42.75" customHeight="1">
      <c r="A141" s="26">
        <v>7</v>
      </c>
      <c r="B141" s="26" t="s">
        <v>45</v>
      </c>
      <c r="C141" s="24"/>
      <c r="D141" s="24"/>
      <c r="E141" s="24"/>
      <c r="F141" s="25"/>
      <c r="G141" s="25"/>
    </row>
    <row r="142" spans="1:7">
      <c r="A142" s="26"/>
      <c r="B142" s="24">
        <v>0.5</v>
      </c>
      <c r="C142" s="24"/>
      <c r="D142" s="24"/>
      <c r="E142" s="24"/>
      <c r="F142" s="25"/>
      <c r="G142" s="25"/>
    </row>
    <row r="143" spans="1:7">
      <c r="A143" s="26"/>
      <c r="B143" s="24"/>
      <c r="C143" s="24"/>
      <c r="D143" s="24"/>
      <c r="E143" s="24"/>
      <c r="F143" s="25"/>
      <c r="G143" s="25"/>
    </row>
    <row r="144" spans="1:7" ht="44.25" customHeight="1">
      <c r="A144" s="58" t="s">
        <v>46</v>
      </c>
      <c r="B144" s="58" t="s">
        <v>76</v>
      </c>
      <c r="C144" s="58"/>
      <c r="D144" s="33"/>
      <c r="E144" s="33"/>
      <c r="F144" s="34"/>
      <c r="G144" s="34"/>
    </row>
    <row r="145" spans="1:7">
      <c r="A145" s="58"/>
      <c r="B145" s="58">
        <f>B139+B135+B123+B111+B89+B142</f>
        <v>47.370929797391298</v>
      </c>
      <c r="C145" s="58"/>
      <c r="D145" s="33"/>
      <c r="E145" s="33"/>
      <c r="F145" s="34"/>
      <c r="G145" s="34"/>
    </row>
    <row r="146" spans="1:7">
      <c r="A146" s="58"/>
      <c r="B146" s="58"/>
      <c r="C146" s="58"/>
      <c r="D146" s="33"/>
      <c r="E146" s="33"/>
      <c r="F146" s="34"/>
      <c r="G146" s="34"/>
    </row>
    <row r="147" spans="1:7">
      <c r="A147" s="47"/>
      <c r="B147" s="47"/>
      <c r="C147" s="27"/>
      <c r="D147" s="28"/>
      <c r="E147" s="28"/>
      <c r="F147" s="29"/>
      <c r="G147" s="29"/>
    </row>
    <row r="148" spans="1:7" ht="46.5" customHeight="1">
      <c r="A148" s="47">
        <v>1</v>
      </c>
      <c r="B148" s="47" t="s">
        <v>48</v>
      </c>
      <c r="C148" s="28"/>
      <c r="D148" s="28"/>
      <c r="E148" s="28"/>
      <c r="F148" s="29"/>
      <c r="G148" s="29"/>
    </row>
    <row r="149" spans="1:7">
      <c r="A149" s="47"/>
      <c r="B149" s="48"/>
      <c r="C149" s="28"/>
      <c r="D149" s="28"/>
      <c r="E149" s="28"/>
      <c r="F149" s="29"/>
      <c r="G149" s="29"/>
    </row>
    <row r="150" spans="1:7">
      <c r="A150" s="47"/>
      <c r="B150" s="48"/>
      <c r="C150" s="28"/>
      <c r="D150" s="28"/>
      <c r="E150" s="28"/>
      <c r="F150" s="29"/>
      <c r="G150" s="29"/>
    </row>
    <row r="151" spans="1:7" ht="49.5" customHeight="1">
      <c r="A151" s="47" t="s">
        <v>9</v>
      </c>
      <c r="B151" s="48"/>
      <c r="C151" s="28"/>
      <c r="D151" s="28"/>
      <c r="E151" s="28"/>
      <c r="F151" s="29"/>
      <c r="G151" s="29"/>
    </row>
    <row r="152" spans="1:7">
      <c r="A152" s="47"/>
      <c r="B152" s="48"/>
      <c r="C152" s="28"/>
      <c r="D152" s="28"/>
      <c r="E152" s="28"/>
      <c r="F152" s="29"/>
      <c r="G152" s="29"/>
    </row>
    <row r="153" spans="1:7">
      <c r="A153" s="47"/>
      <c r="B153" s="48"/>
      <c r="C153" s="28"/>
      <c r="D153" s="28"/>
      <c r="E153" s="28"/>
      <c r="F153" s="29"/>
      <c r="G153" s="29"/>
    </row>
    <row r="154" spans="1:7" ht="47.25" customHeight="1">
      <c r="A154" s="47" t="s">
        <v>10</v>
      </c>
      <c r="B154" s="48" t="s">
        <v>50</v>
      </c>
      <c r="C154" s="28"/>
      <c r="D154" s="28"/>
      <c r="E154" s="28"/>
      <c r="F154" s="29"/>
      <c r="G154" s="29"/>
    </row>
    <row r="155" spans="1:7">
      <c r="A155" s="47"/>
      <c r="B155" s="48">
        <f>B89*0.2</f>
        <v>0.43865258028543341</v>
      </c>
      <c r="C155" s="28"/>
      <c r="D155" s="28"/>
      <c r="E155" s="28"/>
      <c r="F155" s="29"/>
      <c r="G155" s="29"/>
    </row>
    <row r="156" spans="1:7">
      <c r="A156" s="47"/>
      <c r="B156" s="48"/>
      <c r="C156" s="28"/>
      <c r="D156" s="28"/>
      <c r="E156" s="28"/>
      <c r="F156" s="29"/>
      <c r="G156" s="29"/>
    </row>
    <row r="157" spans="1:7" ht="44.25" customHeight="1">
      <c r="A157" s="47" t="s">
        <v>11</v>
      </c>
      <c r="B157" s="48" t="s">
        <v>49</v>
      </c>
      <c r="C157" s="28"/>
      <c r="D157" s="28"/>
      <c r="E157" s="28"/>
      <c r="F157" s="29"/>
      <c r="G157" s="29"/>
    </row>
    <row r="158" spans="1:7">
      <c r="A158" s="47"/>
      <c r="B158" s="48">
        <f>B111*0.2</f>
        <v>0.92388773546843506</v>
      </c>
      <c r="C158" s="28"/>
      <c r="D158" s="28"/>
      <c r="E158" s="28"/>
      <c r="F158" s="29"/>
      <c r="G158" s="29"/>
    </row>
    <row r="159" spans="1:7">
      <c r="A159" s="47"/>
      <c r="B159" s="48"/>
      <c r="C159" s="28"/>
      <c r="D159" s="28"/>
      <c r="E159" s="28"/>
      <c r="F159" s="29"/>
      <c r="G159" s="29"/>
    </row>
    <row r="160" spans="1:7">
      <c r="A160" s="47"/>
      <c r="B160" s="48"/>
      <c r="C160" s="28"/>
      <c r="D160" s="28"/>
      <c r="E160" s="28"/>
      <c r="F160" s="29"/>
      <c r="G160" s="29"/>
    </row>
    <row r="161" spans="1:7" ht="44.25" customHeight="1">
      <c r="A161" s="47" t="s">
        <v>13</v>
      </c>
      <c r="B161" s="48" t="s">
        <v>51</v>
      </c>
      <c r="C161" s="28"/>
      <c r="D161" s="28"/>
      <c r="E161" s="28"/>
      <c r="F161" s="29"/>
      <c r="G161" s="29"/>
    </row>
    <row r="162" spans="1:7">
      <c r="A162" s="47"/>
      <c r="B162" s="48">
        <f>(B135+B123)*0.2</f>
        <v>1.164564372439204E-2</v>
      </c>
      <c r="C162" s="28"/>
      <c r="D162" s="28"/>
      <c r="E162" s="28"/>
      <c r="F162" s="29"/>
      <c r="G162" s="29"/>
    </row>
    <row r="163" spans="1:7">
      <c r="A163" s="47"/>
      <c r="B163" s="48"/>
      <c r="C163" s="28"/>
      <c r="D163" s="28"/>
      <c r="E163" s="28"/>
      <c r="F163" s="29"/>
      <c r="G163" s="29"/>
    </row>
    <row r="164" spans="1:7" ht="48.75" customHeight="1">
      <c r="A164" s="47" t="s">
        <v>24</v>
      </c>
      <c r="B164" s="48"/>
      <c r="C164" s="28"/>
      <c r="D164" s="28"/>
      <c r="E164" s="28"/>
      <c r="F164" s="29"/>
      <c r="G164" s="29"/>
    </row>
    <row r="165" spans="1:7">
      <c r="A165" s="47"/>
      <c r="B165" s="48"/>
      <c r="C165" s="28"/>
      <c r="D165" s="28"/>
      <c r="E165" s="28"/>
      <c r="F165" s="29"/>
      <c r="G165" s="29"/>
    </row>
    <row r="166" spans="1:7">
      <c r="A166" s="47"/>
      <c r="B166" s="48"/>
      <c r="C166" s="28"/>
      <c r="D166" s="28"/>
      <c r="E166" s="28"/>
      <c r="F166" s="29"/>
      <c r="G166" s="29"/>
    </row>
    <row r="167" spans="1:7" ht="47.25" customHeight="1">
      <c r="A167" s="47" t="s">
        <v>27</v>
      </c>
      <c r="B167" s="48" t="s">
        <v>52</v>
      </c>
      <c r="C167" s="28"/>
      <c r="D167" s="28"/>
      <c r="E167" s="28"/>
      <c r="F167" s="29"/>
      <c r="G167" s="29"/>
    </row>
    <row r="168" spans="1:7">
      <c r="A168" s="47"/>
      <c r="B168" s="48">
        <v>2</v>
      </c>
      <c r="C168" s="28"/>
      <c r="D168" s="28"/>
      <c r="E168" s="28"/>
      <c r="F168" s="29"/>
      <c r="G168" s="29"/>
    </row>
    <row r="169" spans="1:7">
      <c r="A169" s="47"/>
      <c r="B169" s="48"/>
      <c r="C169" s="28"/>
      <c r="D169" s="28"/>
      <c r="E169" s="28"/>
      <c r="F169" s="29"/>
      <c r="G169" s="29"/>
    </row>
    <row r="170" spans="1:7" ht="45" customHeight="1">
      <c r="A170" s="47" t="s">
        <v>54</v>
      </c>
      <c r="B170" s="48" t="s">
        <v>53</v>
      </c>
      <c r="C170" s="28"/>
      <c r="D170" s="28"/>
      <c r="E170" s="28"/>
      <c r="F170" s="29"/>
      <c r="G170" s="29"/>
    </row>
    <row r="171" spans="1:7" ht="21" customHeight="1">
      <c r="A171" s="47"/>
      <c r="B171" s="48">
        <v>1</v>
      </c>
      <c r="C171" s="28"/>
      <c r="D171" s="28"/>
      <c r="E171" s="28"/>
      <c r="F171" s="29"/>
      <c r="G171" s="29"/>
    </row>
    <row r="172" spans="1:7">
      <c r="A172" s="47"/>
      <c r="B172" s="48"/>
      <c r="C172" s="28"/>
      <c r="D172" s="28"/>
      <c r="E172" s="28"/>
      <c r="F172" s="29"/>
      <c r="G172" s="29"/>
    </row>
    <row r="173" spans="1:7" ht="39" customHeight="1">
      <c r="A173" s="47" t="s">
        <v>56</v>
      </c>
      <c r="B173" s="48" t="s">
        <v>55</v>
      </c>
      <c r="C173" s="28"/>
      <c r="D173" s="28"/>
      <c r="E173" s="28"/>
      <c r="F173" s="29"/>
      <c r="G173" s="29"/>
    </row>
    <row r="174" spans="1:7">
      <c r="A174" s="47"/>
      <c r="B174" s="48">
        <v>0.5</v>
      </c>
      <c r="C174" s="28"/>
      <c r="D174" s="28"/>
      <c r="E174" s="28"/>
      <c r="F174" s="29"/>
      <c r="G174" s="29"/>
    </row>
    <row r="175" spans="1:7">
      <c r="A175" s="47"/>
      <c r="B175" s="48"/>
      <c r="C175" s="28"/>
      <c r="D175" s="28"/>
      <c r="E175" s="28"/>
      <c r="F175" s="29"/>
      <c r="G175" s="29"/>
    </row>
    <row r="176" spans="1:7" ht="42.75" customHeight="1">
      <c r="A176" s="47" t="s">
        <v>57</v>
      </c>
      <c r="B176" s="48" t="s">
        <v>58</v>
      </c>
      <c r="C176" s="28"/>
      <c r="D176" s="28"/>
      <c r="E176" s="28"/>
      <c r="F176" s="29"/>
      <c r="G176" s="29"/>
    </row>
    <row r="177" spans="1:7">
      <c r="A177" s="47"/>
      <c r="B177" s="48">
        <v>0.5</v>
      </c>
      <c r="C177" s="28"/>
      <c r="D177" s="28"/>
      <c r="E177" s="28"/>
      <c r="F177" s="29"/>
      <c r="G177" s="29"/>
    </row>
    <row r="178" spans="1:7">
      <c r="A178" s="47"/>
      <c r="B178" s="48"/>
      <c r="C178" s="28"/>
      <c r="D178" s="28"/>
      <c r="E178" s="28"/>
      <c r="F178" s="29"/>
      <c r="G178" s="29"/>
    </row>
    <row r="179" spans="1:7" ht="35.25" customHeight="1">
      <c r="A179" s="47" t="s">
        <v>59</v>
      </c>
      <c r="B179" s="48" t="s">
        <v>60</v>
      </c>
      <c r="C179" s="28"/>
      <c r="D179" s="28"/>
      <c r="E179" s="28"/>
      <c r="F179" s="29"/>
      <c r="G179" s="29"/>
    </row>
    <row r="180" spans="1:7">
      <c r="A180" s="47"/>
      <c r="B180" s="48">
        <v>2.5</v>
      </c>
      <c r="C180" s="28"/>
      <c r="D180" s="28"/>
      <c r="E180" s="28"/>
      <c r="F180" s="29"/>
      <c r="G180" s="29"/>
    </row>
    <row r="181" spans="1:7">
      <c r="A181" s="47"/>
      <c r="B181" s="48"/>
      <c r="C181" s="28"/>
      <c r="D181" s="28"/>
      <c r="E181" s="28"/>
      <c r="F181" s="29"/>
      <c r="G181" s="29"/>
    </row>
    <row r="182" spans="1:7" ht="45" customHeight="1">
      <c r="A182" s="47" t="s">
        <v>12</v>
      </c>
      <c r="B182" s="48" t="s">
        <v>64</v>
      </c>
      <c r="C182" s="28"/>
      <c r="D182" s="28"/>
      <c r="E182" s="28"/>
      <c r="F182" s="29"/>
      <c r="G182" s="29"/>
    </row>
    <row r="183" spans="1:7" ht="21.75" customHeight="1">
      <c r="A183" s="47"/>
      <c r="B183" s="48">
        <v>0.5</v>
      </c>
      <c r="C183" s="28"/>
      <c r="D183" s="28"/>
      <c r="E183" s="28"/>
      <c r="F183" s="29"/>
      <c r="G183" s="29"/>
    </row>
    <row r="184" spans="1:7">
      <c r="A184" s="47"/>
      <c r="B184" s="48"/>
      <c r="C184" s="28"/>
      <c r="D184" s="28"/>
      <c r="E184" s="28"/>
      <c r="F184" s="29"/>
      <c r="G184" s="29"/>
    </row>
    <row r="185" spans="1:7" ht="54" customHeight="1">
      <c r="A185" s="58" t="s">
        <v>61</v>
      </c>
      <c r="B185" s="58" t="s">
        <v>62</v>
      </c>
      <c r="C185" s="35"/>
      <c r="D185" s="8"/>
      <c r="E185" s="8"/>
      <c r="F185" s="30"/>
      <c r="G185" s="30"/>
    </row>
    <row r="186" spans="1:7">
      <c r="A186" s="58"/>
      <c r="B186" s="58">
        <f>B183+B180+B177+B174+B171+B168+B162+B158+B155</f>
        <v>8.3741859594782611</v>
      </c>
      <c r="C186" s="35"/>
      <c r="D186" s="8"/>
      <c r="E186" s="8"/>
      <c r="F186" s="30"/>
      <c r="G186" s="30"/>
    </row>
    <row r="187" spans="1:7">
      <c r="A187" s="58"/>
      <c r="B187" s="58"/>
      <c r="C187" s="35"/>
      <c r="D187" s="8"/>
      <c r="E187" s="8"/>
      <c r="F187" s="30"/>
      <c r="G187" s="30"/>
    </row>
    <row r="188" spans="1:7">
      <c r="A188" s="58"/>
      <c r="B188" s="58"/>
      <c r="C188" s="35"/>
      <c r="D188" s="8"/>
      <c r="E188" s="8"/>
      <c r="F188" s="30"/>
      <c r="G188" s="30"/>
    </row>
    <row r="189" spans="1:7">
      <c r="A189" s="31"/>
      <c r="B189" s="10"/>
      <c r="C189" s="10"/>
      <c r="D189" s="10"/>
      <c r="E189" s="10"/>
      <c r="F189" s="32"/>
      <c r="G189" s="32"/>
    </row>
    <row r="190" spans="1:7" ht="48" customHeight="1">
      <c r="A190" s="40" t="s">
        <v>20</v>
      </c>
      <c r="B190" s="40" t="s">
        <v>63</v>
      </c>
      <c r="C190" s="10"/>
      <c r="D190" s="10"/>
      <c r="E190" s="10"/>
      <c r="F190" s="32"/>
      <c r="G190" s="32"/>
    </row>
    <row r="191" spans="1:7" ht="30" customHeight="1">
      <c r="A191" s="40"/>
      <c r="B191" s="40">
        <f>B145+B186</f>
        <v>55.745115756869559</v>
      </c>
      <c r="C191" s="10"/>
      <c r="D191" s="10"/>
      <c r="E191" s="10"/>
      <c r="F191" s="32"/>
      <c r="G191" s="32"/>
    </row>
    <row r="192" spans="1:7">
      <c r="A192" s="40"/>
      <c r="B192" s="41"/>
      <c r="C192" s="10"/>
      <c r="D192" s="10"/>
      <c r="E192" s="10"/>
      <c r="F192" s="32"/>
      <c r="G192" s="32"/>
    </row>
    <row r="193" spans="1:7">
      <c r="A193" s="3"/>
      <c r="B193" s="4"/>
      <c r="C193" s="4"/>
      <c r="D193" s="4"/>
      <c r="E193" s="4"/>
      <c r="F193" s="2"/>
      <c r="G193" s="2"/>
    </row>
    <row r="194" spans="1:7" ht="31.5" customHeight="1">
      <c r="A194" s="3">
        <v>1</v>
      </c>
      <c r="B194" s="3" t="s">
        <v>65</v>
      </c>
      <c r="C194" s="4" t="s">
        <v>66</v>
      </c>
      <c r="D194" s="4" t="s">
        <v>67</v>
      </c>
      <c r="E194" s="4"/>
      <c r="F194" s="2"/>
      <c r="G194" s="2"/>
    </row>
    <row r="195" spans="1:7" ht="28.5" customHeight="1">
      <c r="A195" s="3"/>
      <c r="B195" s="3">
        <f>C102*B191/(75*C195*D195)</f>
        <v>16.994013986946271</v>
      </c>
      <c r="C195" s="4">
        <v>0.65</v>
      </c>
      <c r="D195" s="4">
        <v>0.65</v>
      </c>
      <c r="E195" s="4"/>
      <c r="F195" s="2"/>
      <c r="G195" s="2"/>
    </row>
    <row r="196" spans="1:7">
      <c r="A196" s="3"/>
      <c r="B196" s="4"/>
      <c r="C196" s="4"/>
      <c r="D196" s="4"/>
      <c r="E196" s="4"/>
      <c r="F196" s="2"/>
      <c r="G196" s="2"/>
    </row>
    <row r="197" spans="1:7">
      <c r="A197" s="59"/>
      <c r="B197" s="59"/>
      <c r="C197" s="59"/>
      <c r="D197" s="59"/>
      <c r="E197" s="59"/>
    </row>
    <row r="198" spans="1:7">
      <c r="A198" s="59"/>
      <c r="B198" s="59"/>
      <c r="C198" s="59"/>
      <c r="D198" s="59"/>
      <c r="E198" s="59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2011-05-06T06:48:25Z</dcterms:modified>
</cp:coreProperties>
</file>